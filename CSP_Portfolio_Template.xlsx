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y Portfolio" sheetId="1" state="visible" r:id="rId1"/>
    <sheet xmlns:r="http://schemas.openxmlformats.org/officeDocument/2006/relationships" name="Monthly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&quot;$&quot;#,##0"/>
    <numFmt numFmtId="165" formatCode="&quot;$&quot;#,##0;[Red]-&quot;$&quot;#,##0"/>
    <numFmt numFmtId="166" formatCode="&quot;$&quot;#,##0.00"/>
    <numFmt numFmtId="167" formatCode="yyyy-mm-dd"/>
    <numFmt numFmtId="168" formatCode="0.0%;[Red]-0.0%"/>
    <numFmt numFmtId="169" formatCode="mmm yyyy"/>
  </numFmts>
  <fonts count="26">
    <font>
      <name val="Calibri"/>
      <family val="2"/>
      <color theme="1"/>
      <sz val="11"/>
      <scheme val="minor"/>
    </font>
    <font>
      <name val="Arial"/>
      <b val="1"/>
      <color rgb="000F2744"/>
      <sz val="9"/>
    </font>
    <font>
      <name val="Arial"/>
      <b val="1"/>
      <color rgb="000F2744"/>
      <sz val="10"/>
    </font>
    <font>
      <name val="Arial"/>
      <i val="1"/>
      <color rgb="00475569"/>
      <sz val="8"/>
    </font>
    <font>
      <name val="Arial"/>
      <b val="1"/>
      <color rgb="00FFFFFF"/>
      <sz val="15"/>
    </font>
    <font>
      <name val="Arial"/>
      <i val="1"/>
      <color rgb="009DB2CE"/>
      <sz val="9"/>
    </font>
    <font>
      <name val="Arial"/>
      <b val="1"/>
      <color rgb="000D9488"/>
      <sz val="9"/>
    </font>
    <font>
      <name val="Arial"/>
      <b val="1"/>
      <color rgb="000D9488"/>
      <sz val="13"/>
    </font>
    <font>
      <name val="Arial"/>
      <b val="1"/>
      <color rgb="00057852"/>
      <sz val="9"/>
    </font>
    <font>
      <name val="Arial"/>
      <b val="1"/>
      <color rgb="00057852"/>
      <sz val="13"/>
    </font>
    <font>
      <name val="Arial"/>
      <b val="1"/>
      <color rgb="001D4ED8"/>
      <sz val="9"/>
    </font>
    <font>
      <name val="Arial"/>
      <b val="1"/>
      <color rgb="001D4ED8"/>
      <sz val="13"/>
    </font>
    <font>
      <name val="Arial"/>
      <b val="1"/>
      <color rgb="00B45309"/>
      <sz val="9"/>
    </font>
    <font>
      <name val="Arial"/>
      <b val="1"/>
      <color rgb="00B45309"/>
      <sz val="13"/>
    </font>
    <font>
      <name val="Arial"/>
      <b val="1"/>
      <color rgb="00475569"/>
      <sz val="9"/>
    </font>
    <font>
      <name val="Arial"/>
      <b val="1"/>
      <color rgb="00475569"/>
      <sz val="13"/>
    </font>
    <font>
      <name val="Arial"/>
      <b val="1"/>
      <color rgb="006D28D9"/>
      <sz val="9"/>
    </font>
    <font>
      <name val="Arial"/>
      <b val="1"/>
      <color rgb="006D28D9"/>
      <sz val="13"/>
    </font>
    <font>
      <name val="Arial"/>
      <b val="1"/>
      <color rgb="00FFFFFF"/>
      <sz val="9"/>
    </font>
    <font>
      <name val="Arial"/>
      <color rgb="00475569"/>
      <sz val="9"/>
    </font>
    <font>
      <name val="Arial"/>
      <color rgb="00057852"/>
      <sz val="9"/>
    </font>
    <font>
      <name val="Arial"/>
      <b val="1"/>
      <color rgb="00FFFFFF"/>
      <sz val="10"/>
    </font>
    <font>
      <name val="Arial"/>
      <b val="1"/>
      <color rgb="00475569"/>
      <sz val="8"/>
    </font>
    <font>
      <name val="Arial"/>
      <b val="1"/>
      <color rgb="00FFFFFF"/>
      <sz val="14"/>
    </font>
    <font>
      <name val="Arial"/>
      <i val="1"/>
      <color rgb="00475569"/>
      <sz val="9"/>
    </font>
    <font>
      <name val="Arial"/>
      <b val="1"/>
      <color rgb="00057852"/>
      <sz val="10"/>
    </font>
  </fonts>
  <fills count="16">
    <fill>
      <patternFill/>
    </fill>
    <fill>
      <patternFill patternType="gray125"/>
    </fill>
    <fill>
      <patternFill patternType="solid">
        <fgColor rgb="00FEF9C3"/>
      </patternFill>
    </fill>
    <fill>
      <patternFill patternType="solid">
        <fgColor rgb="000F2744"/>
      </patternFill>
    </fill>
    <fill>
      <patternFill patternType="solid">
        <fgColor rgb="001E3A5F"/>
      </patternFill>
    </fill>
    <fill>
      <patternFill patternType="solid">
        <fgColor rgb="00F1F5F9"/>
      </patternFill>
    </fill>
    <fill>
      <patternFill patternType="solid">
        <fgColor rgb="000D9488"/>
      </patternFill>
    </fill>
    <fill>
      <patternFill patternType="solid">
        <fgColor rgb="00E2E8F0"/>
      </patternFill>
    </fill>
    <fill>
      <patternFill patternType="solid">
        <fgColor rgb="00FEF3C7"/>
      </patternFill>
    </fill>
    <fill>
      <patternFill patternType="solid">
        <fgColor rgb="00EDE9FE"/>
      </patternFill>
    </fill>
    <fill>
      <patternFill patternType="solid">
        <fgColor rgb="00DCFCE7"/>
      </patternFill>
    </fill>
    <fill>
      <patternFill patternType="solid">
        <fgColor rgb="00057852"/>
      </patternFill>
    </fill>
    <fill>
      <patternFill patternType="solid">
        <fgColor rgb="00B45309"/>
      </patternFill>
    </fill>
    <fill>
      <patternFill patternType="solid">
        <fgColor rgb="006D28D9"/>
      </patternFill>
    </fill>
    <fill>
      <patternFill patternType="solid">
        <fgColor rgb="00FFFFFF"/>
      </patternFill>
    </fill>
    <fill>
      <patternFill patternType="solid">
        <fgColor rgb="00DBEAF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4" fillId="3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right" vertical="center"/>
    </xf>
    <xf numFmtId="164" fontId="2" fillId="2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6" fillId="5" borderId="0" applyAlignment="1" pivotButton="0" quotePrefix="0" xfId="0">
      <alignment horizontal="center" vertical="center"/>
    </xf>
    <xf numFmtId="0" fontId="8" fillId="5" borderId="0" applyAlignment="1" pivotButton="0" quotePrefix="0" xfId="0">
      <alignment horizontal="center" vertical="center"/>
    </xf>
    <xf numFmtId="0" fontId="10" fillId="5" borderId="0" applyAlignment="1" pivotButton="0" quotePrefix="0" xfId="0">
      <alignment horizontal="center" vertical="center"/>
    </xf>
    <xf numFmtId="0" fontId="12" fillId="5" borderId="0" applyAlignment="1" pivotButton="0" quotePrefix="0" xfId="0">
      <alignment horizontal="center" vertical="center"/>
    </xf>
    <xf numFmtId="0" fontId="14" fillId="5" borderId="0" applyAlignment="1" pivotButton="0" quotePrefix="0" xfId="0">
      <alignment horizontal="center" vertical="center"/>
    </xf>
    <xf numFmtId="0" fontId="16" fillId="5" borderId="0" applyAlignment="1" pivotButton="0" quotePrefix="0" xfId="0">
      <alignment horizontal="center" vertical="center"/>
    </xf>
    <xf numFmtId="164" fontId="7" fillId="5" borderId="0" applyAlignment="1" pivotButton="0" quotePrefix="0" xfId="0">
      <alignment horizontal="center" vertical="center"/>
    </xf>
    <xf numFmtId="165" fontId="9" fillId="5" borderId="0" applyAlignment="1" pivotButton="0" quotePrefix="0" xfId="0">
      <alignment horizontal="center" vertical="center"/>
    </xf>
    <xf numFmtId="164" fontId="11" fillId="5" borderId="0" applyAlignment="1" pivotButton="0" quotePrefix="0" xfId="0">
      <alignment horizontal="center" vertical="center"/>
    </xf>
    <xf numFmtId="164" fontId="13" fillId="5" borderId="0" applyAlignment="1" pivotButton="0" quotePrefix="0" xfId="0">
      <alignment horizontal="center" vertical="center"/>
    </xf>
    <xf numFmtId="165" fontId="15" fillId="5" borderId="0" applyAlignment="1" pivotButton="0" quotePrefix="0" xfId="0">
      <alignment horizontal="center" vertical="center"/>
    </xf>
    <xf numFmtId="1" fontId="11" fillId="5" borderId="0" applyAlignment="1" pivotButton="0" quotePrefix="0" xfId="0">
      <alignment horizontal="center" vertical="center"/>
    </xf>
    <xf numFmtId="0" fontId="17" fillId="5" borderId="0" applyAlignment="1" pivotButton="0" quotePrefix="0" xfId="0">
      <alignment horizontal="center" vertical="center"/>
    </xf>
    <xf numFmtId="1" fontId="15" fillId="5" borderId="0" applyAlignment="1" pivotButton="0" quotePrefix="0" xfId="0">
      <alignment horizontal="center" vertical="center"/>
    </xf>
    <xf numFmtId="9" fontId="9" fillId="5" borderId="0" applyAlignment="1" pivotButton="0" quotePrefix="0" xfId="0">
      <alignment horizontal="center" vertical="center"/>
    </xf>
    <xf numFmtId="0" fontId="18" fillId="3" borderId="1" applyAlignment="1" pivotButton="0" quotePrefix="0" xfId="0">
      <alignment horizontal="center" vertical="center" wrapText="1"/>
    </xf>
    <xf numFmtId="0" fontId="18" fillId="6" borderId="1" applyAlignment="1" pivotButton="0" quotePrefix="0" xfId="0">
      <alignment horizontal="center" vertical="center" wrapText="1"/>
    </xf>
    <xf numFmtId="0" fontId="19" fillId="7" borderId="1" applyAlignment="1" pivotButton="0" quotePrefix="0" xfId="0">
      <alignment horizontal="center" vertical="center"/>
    </xf>
    <xf numFmtId="0" fontId="19" fillId="2" borderId="1" applyAlignment="1" pivotButton="0" quotePrefix="0" xfId="0">
      <alignment horizontal="center" vertical="center"/>
    </xf>
    <xf numFmtId="0" fontId="19" fillId="2" borderId="1" applyAlignment="1" pivotButton="0" quotePrefix="0" xfId="0">
      <alignment horizontal="left" vertical="center"/>
    </xf>
    <xf numFmtId="166" fontId="19" fillId="2" borderId="1" applyAlignment="1" pivotButton="0" quotePrefix="0" xfId="0">
      <alignment horizontal="center" vertical="center"/>
    </xf>
    <xf numFmtId="1" fontId="19" fillId="2" borderId="1" applyAlignment="1" pivotButton="0" quotePrefix="0" xfId="0">
      <alignment horizontal="center" vertical="center"/>
    </xf>
    <xf numFmtId="164" fontId="19" fillId="2" borderId="1" applyAlignment="1" pivotButton="0" quotePrefix="0" xfId="0">
      <alignment horizontal="center" vertical="center"/>
    </xf>
    <xf numFmtId="164" fontId="12" fillId="8" borderId="1" applyAlignment="1" pivotButton="0" quotePrefix="0" xfId="0">
      <alignment horizontal="center" vertical="center"/>
    </xf>
    <xf numFmtId="3" fontId="16" fillId="9" borderId="1" applyAlignment="1" pivotButton="0" quotePrefix="0" xfId="0">
      <alignment horizontal="center" vertical="center"/>
    </xf>
    <xf numFmtId="167" fontId="19" fillId="2" borderId="1" applyAlignment="1" pivotButton="0" quotePrefix="0" xfId="0">
      <alignment horizontal="center" vertical="center"/>
    </xf>
    <xf numFmtId="165" fontId="8" fillId="10" borderId="1" applyAlignment="1" pivotButton="0" quotePrefix="0" xfId="0">
      <alignment horizontal="center" vertical="center"/>
    </xf>
    <xf numFmtId="168" fontId="20" fillId="10" borderId="1" applyAlignment="1" pivotButton="0" quotePrefix="0" xfId="0">
      <alignment horizontal="center" vertical="center"/>
    </xf>
    <xf numFmtId="165" fontId="10" fillId="10" borderId="1" applyAlignment="1" pivotButton="0" quotePrefix="0" xfId="0">
      <alignment horizontal="center" vertical="center"/>
    </xf>
    <xf numFmtId="0" fontId="21" fillId="3" borderId="0" applyAlignment="1" pivotButton="0" quotePrefix="0" xfId="0">
      <alignment horizontal="right" vertical="center"/>
    </xf>
    <xf numFmtId="164" fontId="21" fillId="11" borderId="1" applyAlignment="1" pivotButton="0" quotePrefix="0" xfId="0">
      <alignment horizontal="center" vertical="center"/>
    </xf>
    <xf numFmtId="164" fontId="21" fillId="12" borderId="1" applyAlignment="1" pivotButton="0" quotePrefix="0" xfId="0">
      <alignment horizontal="center" vertical="center"/>
    </xf>
    <xf numFmtId="3" fontId="21" fillId="13" borderId="1" applyAlignment="1" pivotButton="0" quotePrefix="0" xfId="0">
      <alignment horizontal="center" vertical="center"/>
    </xf>
    <xf numFmtId="165" fontId="21" fillId="11" borderId="1" applyAlignment="1" pivotButton="0" quotePrefix="0" xfId="0">
      <alignment horizontal="center" vertical="center"/>
    </xf>
    <xf numFmtId="0" fontId="22" fillId="0" borderId="0" applyAlignment="1" pivotButton="0" quotePrefix="0" xfId="0">
      <alignment horizontal="left" vertical="center"/>
    </xf>
    <xf numFmtId="0" fontId="23" fillId="3" borderId="0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 vertical="center" wrapText="1"/>
    </xf>
    <xf numFmtId="0" fontId="18" fillId="13" borderId="1" applyAlignment="1" pivotButton="0" quotePrefix="0" xfId="0">
      <alignment horizontal="center" vertical="center" wrapText="1"/>
    </xf>
    <xf numFmtId="169" fontId="14" fillId="14" borderId="1" applyAlignment="1" pivotButton="0" quotePrefix="0" xfId="0">
      <alignment horizontal="center" vertical="center"/>
    </xf>
    <xf numFmtId="165" fontId="19" fillId="14" borderId="1" applyAlignment="1" pivotButton="0" quotePrefix="0" xfId="0">
      <alignment horizontal="center" vertical="center"/>
    </xf>
    <xf numFmtId="165" fontId="14" fillId="14" borderId="1" applyAlignment="1" pivotButton="0" quotePrefix="0" xfId="0">
      <alignment horizontal="center" vertical="center"/>
    </xf>
    <xf numFmtId="1" fontId="19" fillId="14" borderId="1" applyAlignment="1" pivotButton="0" quotePrefix="0" xfId="0">
      <alignment horizontal="center" vertical="center"/>
    </xf>
    <xf numFmtId="164" fontId="19" fillId="14" borderId="1" applyAlignment="1" pivotButton="0" quotePrefix="0" xfId="0">
      <alignment horizontal="center" vertical="center"/>
    </xf>
    <xf numFmtId="0" fontId="19" fillId="14" borderId="1" applyAlignment="1" pivotButton="0" quotePrefix="0" xfId="0">
      <alignment horizontal="center" vertical="center"/>
    </xf>
    <xf numFmtId="169" fontId="14" fillId="5" borderId="1" applyAlignment="1" pivotButton="0" quotePrefix="0" xfId="0">
      <alignment horizontal="center" vertical="center"/>
    </xf>
    <xf numFmtId="165" fontId="19" fillId="5" borderId="1" applyAlignment="1" pivotButton="0" quotePrefix="0" xfId="0">
      <alignment horizontal="center" vertical="center"/>
    </xf>
    <xf numFmtId="165" fontId="14" fillId="5" borderId="1" applyAlignment="1" pivotButton="0" quotePrefix="0" xfId="0">
      <alignment horizontal="center" vertical="center"/>
    </xf>
    <xf numFmtId="1" fontId="19" fillId="5" borderId="1" applyAlignment="1" pivotButton="0" quotePrefix="0" xfId="0">
      <alignment horizontal="center" vertical="center"/>
    </xf>
    <xf numFmtId="164" fontId="19" fillId="5" borderId="1" applyAlignment="1" pivotButton="0" quotePrefix="0" xfId="0">
      <alignment horizontal="center" vertical="center"/>
    </xf>
    <xf numFmtId="0" fontId="19" fillId="5" borderId="1" applyAlignment="1" pivotButton="0" quotePrefix="0" xfId="0">
      <alignment horizontal="center" vertical="center"/>
    </xf>
    <xf numFmtId="0" fontId="10" fillId="15" borderId="1" applyAlignment="1" pivotButton="0" quotePrefix="0" xfId="0">
      <alignment horizontal="center" vertical="center"/>
    </xf>
    <xf numFmtId="165" fontId="10" fillId="15" borderId="1" applyAlignment="1" pivotButton="0" quotePrefix="0" xfId="0">
      <alignment horizontal="center" vertical="center"/>
    </xf>
    <xf numFmtId="0" fontId="21" fillId="3" borderId="1" applyAlignment="1" pivotButton="0" quotePrefix="0" xfId="0">
      <alignment horizontal="center" vertical="center"/>
    </xf>
    <xf numFmtId="165" fontId="25" fillId="10" borderId="1" applyAlignment="1" pivotButton="0" quotePrefix="0" xfId="0">
      <alignment horizontal="center" vertical="center"/>
    </xf>
    <xf numFmtId="0" fontId="25" fillId="10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dxfs count="6">
    <dxf>
      <font>
        <b val="1"/>
        <color rgb="00BE123C"/>
      </font>
      <fill>
        <patternFill patternType="solid">
          <fgColor rgb="00FECACA"/>
        </patternFill>
      </fill>
    </dxf>
    <dxf>
      <font>
        <b val="1"/>
        <color rgb="00B45309"/>
      </font>
      <fill>
        <patternFill patternType="solid">
          <fgColor rgb="00FDE68A"/>
        </patternFill>
      </fill>
    </dxf>
    <dxf>
      <font>
        <b val="1"/>
        <color rgb="006D28D9"/>
      </font>
      <fill>
        <patternFill patternType="solid">
          <fgColor rgb="00EDE9FE"/>
        </patternFill>
      </fill>
    </dxf>
    <dxf>
      <fill>
        <patternFill patternType="solid">
          <fgColor rgb="00EEF2F7"/>
        </patternFill>
      </fill>
    </dxf>
    <dxf>
      <font>
        <b val="1"/>
        <color rgb="00BE123C"/>
      </font>
    </dxf>
    <dxf>
      <font>
        <b val="1"/>
        <color rgb="00057852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7"/>
  <sheetViews>
    <sheetView showGridLines="0" workbookViewId="0">
      <pane xSplit="3" ySplit="6" topLeftCell="D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9" customWidth="1" min="2" max="2"/>
    <col width="7" customWidth="1" min="3" max="3"/>
    <col width="22" customWidth="1" min="4" max="4"/>
    <col width="9" customWidth="1" min="5" max="5"/>
    <col width="6" customWidth="1" min="6" max="6"/>
    <col width="11" customWidth="1" min="7" max="7"/>
    <col width="11" customWidth="1" min="8" max="8"/>
    <col width="9" customWidth="1" min="9" max="9"/>
    <col width="11" customWidth="1" min="10" max="10"/>
    <col width="11" customWidth="1" min="11" max="11"/>
    <col width="10" customWidth="1" min="12" max="12"/>
    <col width="11" customWidth="1" min="13" max="13"/>
    <col width="11" customWidth="1" min="14" max="14"/>
    <col width="8" customWidth="1" min="15" max="15"/>
    <col width="12" customWidth="1" min="16" max="16"/>
    <col width="10" customWidth="1" min="17" max="17"/>
    <col width="26" customWidth="1" min="18" max="18"/>
    <col width="9" customWidth="1" min="19" max="19"/>
    <col width="12" customWidth="1" min="20" max="20"/>
    <col width="12" customWidth="1" min="21" max="21"/>
  </cols>
  <sheetData>
    <row r="1" ht="34" customHeight="1">
      <c r="A1" s="1" t="inlineStr">
        <is>
          <t>MY PORTFOLIO — ALL OPTION TRADES: CASH-SECURED PUTS &amp; COVERED CALLS</t>
        </is>
      </c>
    </row>
    <row r="2" ht="20" customHeight="1">
      <c r="A2" s="2" t="inlineStr">
        <is>
          <t>One row per option you sell. Type = Put or Call (blank counts as Put). Yellow cells are yours to fill. When a trade ends, enter Close Date (+ Buy-back/C if you bought it back) — Realized P&amp;L calculates itself. Rolled? Give the old and new rows the same Roll ID.</t>
        </is>
      </c>
    </row>
    <row r="3" ht="22" customHeight="1">
      <c r="A3" s="3" t="inlineStr">
        <is>
          <t>Capital budget ($):</t>
        </is>
      </c>
      <c r="D3" s="4" t="n">
        <v>50000</v>
      </c>
      <c r="F3" s="3" t="inlineStr">
        <is>
          <t>Monthly target ($):</t>
        </is>
      </c>
      <c r="I3" s="4" t="n">
        <v>2000</v>
      </c>
      <c r="K3" s="5" t="inlineStr">
        <is>
          <t>&lt;- type your own account size and monthly premium goal</t>
        </is>
      </c>
    </row>
    <row r="4" ht="24" customHeight="1">
      <c r="A4" s="6" t="inlineStr">
        <is>
          <t>Total Premium</t>
        </is>
      </c>
      <c r="C4" s="7" t="inlineStr">
        <is>
          <t>Realized P&amp;L</t>
        </is>
      </c>
      <c r="E4" s="8" t="inlineStr">
        <is>
          <t>Open Premium</t>
        </is>
      </c>
      <c r="G4" s="9" t="inlineStr">
        <is>
          <t>Cash at Risk (puts)</t>
        </is>
      </c>
      <c r="I4" s="10" t="inlineStr">
        <is>
          <t>Budget Left</t>
        </is>
      </c>
      <c r="K4" s="8" t="inlineStr">
        <is>
          <t>Open Puts</t>
        </is>
      </c>
      <c r="M4" s="11" t="inlineStr">
        <is>
          <t>Open Calls · Shares</t>
        </is>
      </c>
      <c r="O4" s="10" t="inlineStr">
        <is>
          <t>Closed Trades</t>
        </is>
      </c>
      <c r="Q4" s="7" t="inlineStr">
        <is>
          <t>Win Rate (closed)</t>
        </is>
      </c>
      <c r="S4" s="10" t="inlineStr">
        <is>
          <t>Broker-basis P&amp;L</t>
        </is>
      </c>
    </row>
    <row r="5" ht="26" customHeight="1">
      <c r="A5" s="12">
        <f>SUMPRODUCT($G$7:$G$106,$F$7:$F$106)</f>
        <v/>
      </c>
      <c r="C5" s="13">
        <f>SUM($T$7:$T$106)</f>
        <v/>
      </c>
      <c r="E5" s="14">
        <f>SUMPRODUCT(($M$7:$M$106="")*($B$7:$B$106&lt;&gt;"")*$G$7:$G$106*$F$7:$F$106)</f>
        <v/>
      </c>
      <c r="G5" s="15">
        <f>SUMIFS($H$7:$H$106,$M$7:$M$106,"",$B$7:$B$106,"&lt;&gt;")</f>
        <v/>
      </c>
      <c r="I5" s="16">
        <f>$D$3-SUMIFS($H$7:$H$106,$M$7:$M$106,"",$B$7:$B$106,"&lt;&gt;")</f>
        <v/>
      </c>
      <c r="K5" s="17">
        <f>COUNTIFS($B$7:$B$106,"&lt;&gt;",$M$7:$M$106,"",$C$7:$C$106,"&lt;&gt;Call")</f>
        <v/>
      </c>
      <c r="M5" s="18">
        <f>COUNTIFS($B$7:$B$106,"&lt;&gt;",$M$7:$M$106,"",$C$7:$C$106,"Call")&amp;"  ·  "&amp;TEXT(SUMIFS($I$7:$I$106,$M$7:$M$106,"",$B$7:$B$106,"&lt;&gt;"),"#,##0")&amp;" sh"</f>
        <v/>
      </c>
      <c r="O5" s="19">
        <f>COUNTIFS($T$7:$T$106,"&gt;0")+COUNTIFS($T$7:$T$106,"&lt;=0")</f>
        <v/>
      </c>
      <c r="Q5" s="20">
        <f>IFERROR(COUNTIFS($T$7:$T$106,"&gt;0")/(COUNTIFS($T$7:$T$106,"&gt;0")+COUNTIFS($T$7:$T$106,"&lt;=0")),"—")</f>
        <v/>
      </c>
      <c r="S5" s="16">
        <f>SUM($P$7:$P$106)</f>
        <v/>
      </c>
    </row>
    <row r="6" ht="30" customHeight="1">
      <c r="A6" s="21" t="inlineStr">
        <is>
          <t>#</t>
        </is>
      </c>
      <c r="B6" s="21" t="inlineStr">
        <is>
          <t>Ticker</t>
        </is>
      </c>
      <c r="C6" s="21" t="inlineStr">
        <is>
          <t>Type</t>
        </is>
      </c>
      <c r="D6" s="21" t="inlineStr">
        <is>
          <t>Company</t>
        </is>
      </c>
      <c r="E6" s="21" t="inlineStr">
        <is>
          <t>Strike</t>
        </is>
      </c>
      <c r="F6" s="21" t="inlineStr">
        <is>
          <t>Contr</t>
        </is>
      </c>
      <c r="G6" s="21" t="inlineStr">
        <is>
          <t>Premium/C
($ per contract)</t>
        </is>
      </c>
      <c r="H6" s="22" t="inlineStr">
        <is>
          <t>Capital
(cash, puts)</t>
        </is>
      </c>
      <c r="I6" s="22" t="inlineStr">
        <is>
          <t>Shares Locked
(calls)</t>
        </is>
      </c>
      <c r="J6" s="21" t="inlineStr">
        <is>
          <t>Entry Date</t>
        </is>
      </c>
      <c r="K6" s="21" t="inlineStr">
        <is>
          <t>Expiry</t>
        </is>
      </c>
      <c r="L6" s="21" t="inlineStr">
        <is>
          <t>Status</t>
        </is>
      </c>
      <c r="M6" s="21" t="inlineStr">
        <is>
          <t>Close Date</t>
        </is>
      </c>
      <c r="N6" s="21" t="inlineStr">
        <is>
          <t>Buy-back/C
($ per contract)</t>
        </is>
      </c>
      <c r="O6" s="21" t="inlineStr">
        <is>
          <t>Fees</t>
        </is>
      </c>
      <c r="P6" s="22" t="inlineStr">
        <is>
          <t>Realized P&amp;L
(per leg, broker)</t>
        </is>
      </c>
      <c r="Q6" s="22" t="inlineStr">
        <is>
          <t>Ann. Return</t>
        </is>
      </c>
      <c r="R6" s="21" t="inlineStr">
        <is>
          <t>Notes</t>
        </is>
      </c>
      <c r="S6" s="21" t="inlineStr">
        <is>
          <t>Roll ID
(same ID = one roll)</t>
        </is>
      </c>
      <c r="T6" s="22" t="inlineStr">
        <is>
          <t>Booked P&amp;L
(rolls deferred)</t>
        </is>
      </c>
      <c r="U6" s="22" t="inlineStr">
        <is>
          <t>Roll Net Credit
(open roll leg)</t>
        </is>
      </c>
    </row>
    <row r="7" ht="19" customHeight="1">
      <c r="A7" s="23" t="n">
        <v>1</v>
      </c>
      <c r="B7" s="24" t="n"/>
      <c r="C7" s="24" t="n"/>
      <c r="D7" s="25" t="n"/>
      <c r="E7" s="26" t="n"/>
      <c r="F7" s="27" t="n"/>
      <c r="G7" s="28" t="n"/>
      <c r="H7" s="29">
        <f>IF(OR(E7="",F7="",C7="Call"),"",E7*100*F7)</f>
        <v/>
      </c>
      <c r="I7" s="30">
        <f>IF(AND(C7="Call",F7&lt;&gt;""),F7*100,"")</f>
        <v/>
      </c>
      <c r="J7" s="31" t="n"/>
      <c r="K7" s="31" t="n"/>
      <c r="L7" s="24" t="n"/>
      <c r="M7" s="31" t="n"/>
      <c r="N7" s="28" t="n"/>
      <c r="O7" s="26" t="n"/>
      <c r="P7" s="32">
        <f>IF(OR(B7="",M7=""),"",(N(G7)-N(N7))*N(F7)-N(O7))</f>
        <v/>
      </c>
      <c r="Q7" s="33">
        <f>IF(OR(P7="",E7="",F7="",J7=""),"",P7/(E7*100*F7)*365/MAX(1,M7-J7))</f>
        <v/>
      </c>
      <c r="R7" s="25" t="n"/>
      <c r="S7" s="24" t="n"/>
      <c r="T7" s="32">
        <f>IF(P7="","",IF(TRIM(S7)="",P7,IF(AND(COUNTIFS($S$7:$S$106,S7,$M$7:$M$106,"",$B$7:$B$106,"&lt;&gt;")=0,COUNTIFS($S$7:$S$106,S7,$M$7:$M$106,"&gt;"&amp;M7)=0,COUNTIFS($S$7:$S$106,S7,$M$7:$M$106,M7,$A$7:$A$106,"&gt;"&amp;A7)=0),SUMIFS($P$7:$P$106,$S$7:$S$106,S7),"")))</f>
        <v/>
      </c>
      <c r="U7" s="34">
        <f>IF(OR(TRIM(S7)="",B7="",M7&lt;&gt;""),"",N(G7)*N(F7)+SUMIFS($P$7:$P$106,$S$7:$S$106,S7))</f>
        <v/>
      </c>
    </row>
    <row r="8" ht="19" customHeight="1">
      <c r="A8" s="23" t="n">
        <v>2</v>
      </c>
      <c r="B8" s="24" t="n"/>
      <c r="C8" s="24" t="n"/>
      <c r="D8" s="25" t="n"/>
      <c r="E8" s="26" t="n"/>
      <c r="F8" s="27" t="n"/>
      <c r="G8" s="28" t="n"/>
      <c r="H8" s="29">
        <f>IF(OR(E8="",F8="",C8="Call"),"",E8*100*F8)</f>
        <v/>
      </c>
      <c r="I8" s="30">
        <f>IF(AND(C8="Call",F8&lt;&gt;""),F8*100,"")</f>
        <v/>
      </c>
      <c r="J8" s="31" t="n"/>
      <c r="K8" s="31" t="n"/>
      <c r="L8" s="24" t="n"/>
      <c r="M8" s="31" t="n"/>
      <c r="N8" s="28" t="n"/>
      <c r="O8" s="26" t="n"/>
      <c r="P8" s="32">
        <f>IF(OR(B8="",M8=""),"",(N(G8)-N(N8))*N(F8)-N(O8))</f>
        <v/>
      </c>
      <c r="Q8" s="33">
        <f>IF(OR(P8="",E8="",F8="",J8=""),"",P8/(E8*100*F8)*365/MAX(1,M8-J8))</f>
        <v/>
      </c>
      <c r="R8" s="25" t="n"/>
      <c r="S8" s="24" t="n"/>
      <c r="T8" s="32">
        <f>IF(P8="","",IF(TRIM(S8)="",P8,IF(AND(COUNTIFS($S$7:$S$106,S8,$M$7:$M$106,"",$B$7:$B$106,"&lt;&gt;")=0,COUNTIFS($S$7:$S$106,S8,$M$7:$M$106,"&gt;"&amp;M8)=0,COUNTIFS($S$7:$S$106,S8,$M$7:$M$106,M8,$A$7:$A$106,"&gt;"&amp;A8)=0),SUMIFS($P$7:$P$106,$S$7:$S$106,S8),"")))</f>
        <v/>
      </c>
      <c r="U8" s="34">
        <f>IF(OR(TRIM(S8)="",B8="",M8&lt;&gt;""),"",N(G8)*N(F8)+SUMIFS($P$7:$P$106,$S$7:$S$106,S8))</f>
        <v/>
      </c>
    </row>
    <row r="9" ht="19" customHeight="1">
      <c r="A9" s="23" t="n">
        <v>3</v>
      </c>
      <c r="B9" s="24" t="n"/>
      <c r="C9" s="24" t="n"/>
      <c r="D9" s="25" t="n"/>
      <c r="E9" s="26" t="n"/>
      <c r="F9" s="27" t="n"/>
      <c r="G9" s="28" t="n"/>
      <c r="H9" s="29">
        <f>IF(OR(E9="",F9="",C9="Call"),"",E9*100*F9)</f>
        <v/>
      </c>
      <c r="I9" s="30">
        <f>IF(AND(C9="Call",F9&lt;&gt;""),F9*100,"")</f>
        <v/>
      </c>
      <c r="J9" s="31" t="n"/>
      <c r="K9" s="31" t="n"/>
      <c r="L9" s="24" t="n"/>
      <c r="M9" s="31" t="n"/>
      <c r="N9" s="28" t="n"/>
      <c r="O9" s="26" t="n"/>
      <c r="P9" s="32">
        <f>IF(OR(B9="",M9=""),"",(N(G9)-N(N9))*N(F9)-N(O9))</f>
        <v/>
      </c>
      <c r="Q9" s="33">
        <f>IF(OR(P9="",E9="",F9="",J9=""),"",P9/(E9*100*F9)*365/MAX(1,M9-J9))</f>
        <v/>
      </c>
      <c r="R9" s="25" t="n"/>
      <c r="S9" s="24" t="n"/>
      <c r="T9" s="32">
        <f>IF(P9="","",IF(TRIM(S9)="",P9,IF(AND(COUNTIFS($S$7:$S$106,S9,$M$7:$M$106,"",$B$7:$B$106,"&lt;&gt;")=0,COUNTIFS($S$7:$S$106,S9,$M$7:$M$106,"&gt;"&amp;M9)=0,COUNTIFS($S$7:$S$106,S9,$M$7:$M$106,M9,$A$7:$A$106,"&gt;"&amp;A9)=0),SUMIFS($P$7:$P$106,$S$7:$S$106,S9),"")))</f>
        <v/>
      </c>
      <c r="U9" s="34">
        <f>IF(OR(TRIM(S9)="",B9="",M9&lt;&gt;""),"",N(G9)*N(F9)+SUMIFS($P$7:$P$106,$S$7:$S$106,S9))</f>
        <v/>
      </c>
    </row>
    <row r="10" ht="19" customHeight="1">
      <c r="A10" s="23" t="n">
        <v>4</v>
      </c>
      <c r="B10" s="24" t="n"/>
      <c r="C10" s="24" t="n"/>
      <c r="D10" s="25" t="n"/>
      <c r="E10" s="26" t="n"/>
      <c r="F10" s="27" t="n"/>
      <c r="G10" s="28" t="n"/>
      <c r="H10" s="29">
        <f>IF(OR(E10="",F10="",C10="Call"),"",E10*100*F10)</f>
        <v/>
      </c>
      <c r="I10" s="30">
        <f>IF(AND(C10="Call",F10&lt;&gt;""),F10*100,"")</f>
        <v/>
      </c>
      <c r="J10" s="31" t="n"/>
      <c r="K10" s="31" t="n"/>
      <c r="L10" s="24" t="n"/>
      <c r="M10" s="31" t="n"/>
      <c r="N10" s="28" t="n"/>
      <c r="O10" s="26" t="n"/>
      <c r="P10" s="32">
        <f>IF(OR(B10="",M10=""),"",(N(G10)-N(N10))*N(F10)-N(O10))</f>
        <v/>
      </c>
      <c r="Q10" s="33">
        <f>IF(OR(P10="",E10="",F10="",J10=""),"",P10/(E10*100*F10)*365/MAX(1,M10-J10))</f>
        <v/>
      </c>
      <c r="R10" s="25" t="n"/>
      <c r="S10" s="24" t="n"/>
      <c r="T10" s="32">
        <f>IF(P10="","",IF(TRIM(S10)="",P10,IF(AND(COUNTIFS($S$7:$S$106,S10,$M$7:$M$106,"",$B$7:$B$106,"&lt;&gt;")=0,COUNTIFS($S$7:$S$106,S10,$M$7:$M$106,"&gt;"&amp;M10)=0,COUNTIFS($S$7:$S$106,S10,$M$7:$M$106,M10,$A$7:$A$106,"&gt;"&amp;A10)=0),SUMIFS($P$7:$P$106,$S$7:$S$106,S10),"")))</f>
        <v/>
      </c>
      <c r="U10" s="34">
        <f>IF(OR(TRIM(S10)="",B10="",M10&lt;&gt;""),"",N(G10)*N(F10)+SUMIFS($P$7:$P$106,$S$7:$S$106,S10))</f>
        <v/>
      </c>
    </row>
    <row r="11" ht="19" customHeight="1">
      <c r="A11" s="23" t="n">
        <v>5</v>
      </c>
      <c r="B11" s="24" t="n"/>
      <c r="C11" s="24" t="n"/>
      <c r="D11" s="25" t="n"/>
      <c r="E11" s="26" t="n"/>
      <c r="F11" s="27" t="n"/>
      <c r="G11" s="28" t="n"/>
      <c r="H11" s="29">
        <f>IF(OR(E11="",F11="",C11="Call"),"",E11*100*F11)</f>
        <v/>
      </c>
      <c r="I11" s="30">
        <f>IF(AND(C11="Call",F11&lt;&gt;""),F11*100,"")</f>
        <v/>
      </c>
      <c r="J11" s="31" t="n"/>
      <c r="K11" s="31" t="n"/>
      <c r="L11" s="24" t="n"/>
      <c r="M11" s="31" t="n"/>
      <c r="N11" s="28" t="n"/>
      <c r="O11" s="26" t="n"/>
      <c r="P11" s="32">
        <f>IF(OR(B11="",M11=""),"",(N(G11)-N(N11))*N(F11)-N(O11))</f>
        <v/>
      </c>
      <c r="Q11" s="33">
        <f>IF(OR(P11="",E11="",F11="",J11=""),"",P11/(E11*100*F11)*365/MAX(1,M11-J11))</f>
        <v/>
      </c>
      <c r="R11" s="25" t="n"/>
      <c r="S11" s="24" t="n"/>
      <c r="T11" s="32">
        <f>IF(P11="","",IF(TRIM(S11)="",P11,IF(AND(COUNTIFS($S$7:$S$106,S11,$M$7:$M$106,"",$B$7:$B$106,"&lt;&gt;")=0,COUNTIFS($S$7:$S$106,S11,$M$7:$M$106,"&gt;"&amp;M11)=0,COUNTIFS($S$7:$S$106,S11,$M$7:$M$106,M11,$A$7:$A$106,"&gt;"&amp;A11)=0),SUMIFS($P$7:$P$106,$S$7:$S$106,S11),"")))</f>
        <v/>
      </c>
      <c r="U11" s="34">
        <f>IF(OR(TRIM(S11)="",B11="",M11&lt;&gt;""),"",N(G11)*N(F11)+SUMIFS($P$7:$P$106,$S$7:$S$106,S11))</f>
        <v/>
      </c>
    </row>
    <row r="12" ht="19" customHeight="1">
      <c r="A12" s="23" t="n">
        <v>6</v>
      </c>
      <c r="B12" s="24" t="n"/>
      <c r="C12" s="24" t="n"/>
      <c r="D12" s="25" t="n"/>
      <c r="E12" s="26" t="n"/>
      <c r="F12" s="27" t="n"/>
      <c r="G12" s="28" t="n"/>
      <c r="H12" s="29">
        <f>IF(OR(E12="",F12="",C12="Call"),"",E12*100*F12)</f>
        <v/>
      </c>
      <c r="I12" s="30">
        <f>IF(AND(C12="Call",F12&lt;&gt;""),F12*100,"")</f>
        <v/>
      </c>
      <c r="J12" s="31" t="n"/>
      <c r="K12" s="31" t="n"/>
      <c r="L12" s="24" t="n"/>
      <c r="M12" s="31" t="n"/>
      <c r="N12" s="28" t="n"/>
      <c r="O12" s="26" t="n"/>
      <c r="P12" s="32">
        <f>IF(OR(B12="",M12=""),"",(N(G12)-N(N12))*N(F12)-N(O12))</f>
        <v/>
      </c>
      <c r="Q12" s="33">
        <f>IF(OR(P12="",E12="",F12="",J12=""),"",P12/(E12*100*F12)*365/MAX(1,M12-J12))</f>
        <v/>
      </c>
      <c r="R12" s="25" t="n"/>
      <c r="S12" s="24" t="n"/>
      <c r="T12" s="32">
        <f>IF(P12="","",IF(TRIM(S12)="",P12,IF(AND(COUNTIFS($S$7:$S$106,S12,$M$7:$M$106,"",$B$7:$B$106,"&lt;&gt;")=0,COUNTIFS($S$7:$S$106,S12,$M$7:$M$106,"&gt;"&amp;M12)=0,COUNTIFS($S$7:$S$106,S12,$M$7:$M$106,M12,$A$7:$A$106,"&gt;"&amp;A12)=0),SUMIFS($P$7:$P$106,$S$7:$S$106,S12),"")))</f>
        <v/>
      </c>
      <c r="U12" s="34">
        <f>IF(OR(TRIM(S12)="",B12="",M12&lt;&gt;""),"",N(G12)*N(F12)+SUMIFS($P$7:$P$106,$S$7:$S$106,S12))</f>
        <v/>
      </c>
    </row>
    <row r="13" ht="19" customHeight="1">
      <c r="A13" s="23" t="n">
        <v>7</v>
      </c>
      <c r="B13" s="24" t="n"/>
      <c r="C13" s="24" t="n"/>
      <c r="D13" s="25" t="n"/>
      <c r="E13" s="26" t="n"/>
      <c r="F13" s="27" t="n"/>
      <c r="G13" s="28" t="n"/>
      <c r="H13" s="29">
        <f>IF(OR(E13="",F13="",C13="Call"),"",E13*100*F13)</f>
        <v/>
      </c>
      <c r="I13" s="30">
        <f>IF(AND(C13="Call",F13&lt;&gt;""),F13*100,"")</f>
        <v/>
      </c>
      <c r="J13" s="31" t="n"/>
      <c r="K13" s="31" t="n"/>
      <c r="L13" s="24" t="n"/>
      <c r="M13" s="31" t="n"/>
      <c r="N13" s="28" t="n"/>
      <c r="O13" s="26" t="n"/>
      <c r="P13" s="32">
        <f>IF(OR(B13="",M13=""),"",(N(G13)-N(N13))*N(F13)-N(O13))</f>
        <v/>
      </c>
      <c r="Q13" s="33">
        <f>IF(OR(P13="",E13="",F13="",J13=""),"",P13/(E13*100*F13)*365/MAX(1,M13-J13))</f>
        <v/>
      </c>
      <c r="R13" s="25" t="n"/>
      <c r="S13" s="24" t="n"/>
      <c r="T13" s="32">
        <f>IF(P13="","",IF(TRIM(S13)="",P13,IF(AND(COUNTIFS($S$7:$S$106,S13,$M$7:$M$106,"",$B$7:$B$106,"&lt;&gt;")=0,COUNTIFS($S$7:$S$106,S13,$M$7:$M$106,"&gt;"&amp;M13)=0,COUNTIFS($S$7:$S$106,S13,$M$7:$M$106,M13,$A$7:$A$106,"&gt;"&amp;A13)=0),SUMIFS($P$7:$P$106,$S$7:$S$106,S13),"")))</f>
        <v/>
      </c>
      <c r="U13" s="34">
        <f>IF(OR(TRIM(S13)="",B13="",M13&lt;&gt;""),"",N(G13)*N(F13)+SUMIFS($P$7:$P$106,$S$7:$S$106,S13))</f>
        <v/>
      </c>
    </row>
    <row r="14" ht="19" customHeight="1">
      <c r="A14" s="23" t="n">
        <v>8</v>
      </c>
      <c r="B14" s="24" t="n"/>
      <c r="C14" s="24" t="n"/>
      <c r="D14" s="25" t="n"/>
      <c r="E14" s="26" t="n"/>
      <c r="F14" s="27" t="n"/>
      <c r="G14" s="28" t="n"/>
      <c r="H14" s="29">
        <f>IF(OR(E14="",F14="",C14="Call"),"",E14*100*F14)</f>
        <v/>
      </c>
      <c r="I14" s="30">
        <f>IF(AND(C14="Call",F14&lt;&gt;""),F14*100,"")</f>
        <v/>
      </c>
      <c r="J14" s="31" t="n"/>
      <c r="K14" s="31" t="n"/>
      <c r="L14" s="24" t="n"/>
      <c r="M14" s="31" t="n"/>
      <c r="N14" s="28" t="n"/>
      <c r="O14" s="26" t="n"/>
      <c r="P14" s="32">
        <f>IF(OR(B14="",M14=""),"",(N(G14)-N(N14))*N(F14)-N(O14))</f>
        <v/>
      </c>
      <c r="Q14" s="33">
        <f>IF(OR(P14="",E14="",F14="",J14=""),"",P14/(E14*100*F14)*365/MAX(1,M14-J14))</f>
        <v/>
      </c>
      <c r="R14" s="25" t="n"/>
      <c r="S14" s="24" t="n"/>
      <c r="T14" s="32">
        <f>IF(P14="","",IF(TRIM(S14)="",P14,IF(AND(COUNTIFS($S$7:$S$106,S14,$M$7:$M$106,"",$B$7:$B$106,"&lt;&gt;")=0,COUNTIFS($S$7:$S$106,S14,$M$7:$M$106,"&gt;"&amp;M14)=0,COUNTIFS($S$7:$S$106,S14,$M$7:$M$106,M14,$A$7:$A$106,"&gt;"&amp;A14)=0),SUMIFS($P$7:$P$106,$S$7:$S$106,S14),"")))</f>
        <v/>
      </c>
      <c r="U14" s="34">
        <f>IF(OR(TRIM(S14)="",B14="",M14&lt;&gt;""),"",N(G14)*N(F14)+SUMIFS($P$7:$P$106,$S$7:$S$106,S14))</f>
        <v/>
      </c>
    </row>
    <row r="15" ht="19" customHeight="1">
      <c r="A15" s="23" t="n">
        <v>9</v>
      </c>
      <c r="B15" s="24" t="n"/>
      <c r="C15" s="24" t="n"/>
      <c r="D15" s="25" t="n"/>
      <c r="E15" s="26" t="n"/>
      <c r="F15" s="27" t="n"/>
      <c r="G15" s="28" t="n"/>
      <c r="H15" s="29">
        <f>IF(OR(E15="",F15="",C15="Call"),"",E15*100*F15)</f>
        <v/>
      </c>
      <c r="I15" s="30">
        <f>IF(AND(C15="Call",F15&lt;&gt;""),F15*100,"")</f>
        <v/>
      </c>
      <c r="J15" s="31" t="n"/>
      <c r="K15" s="31" t="n"/>
      <c r="L15" s="24" t="n"/>
      <c r="M15" s="31" t="n"/>
      <c r="N15" s="28" t="n"/>
      <c r="O15" s="26" t="n"/>
      <c r="P15" s="32">
        <f>IF(OR(B15="",M15=""),"",(N(G15)-N(N15))*N(F15)-N(O15))</f>
        <v/>
      </c>
      <c r="Q15" s="33">
        <f>IF(OR(P15="",E15="",F15="",J15=""),"",P15/(E15*100*F15)*365/MAX(1,M15-J15))</f>
        <v/>
      </c>
      <c r="R15" s="25" t="n"/>
      <c r="S15" s="24" t="n"/>
      <c r="T15" s="32">
        <f>IF(P15="","",IF(TRIM(S15)="",P15,IF(AND(COUNTIFS($S$7:$S$106,S15,$M$7:$M$106,"",$B$7:$B$106,"&lt;&gt;")=0,COUNTIFS($S$7:$S$106,S15,$M$7:$M$106,"&gt;"&amp;M15)=0,COUNTIFS($S$7:$S$106,S15,$M$7:$M$106,M15,$A$7:$A$106,"&gt;"&amp;A15)=0),SUMIFS($P$7:$P$106,$S$7:$S$106,S15),"")))</f>
        <v/>
      </c>
      <c r="U15" s="34">
        <f>IF(OR(TRIM(S15)="",B15="",M15&lt;&gt;""),"",N(G15)*N(F15)+SUMIFS($P$7:$P$106,$S$7:$S$106,S15))</f>
        <v/>
      </c>
    </row>
    <row r="16" ht="19" customHeight="1">
      <c r="A16" s="23" t="n">
        <v>10</v>
      </c>
      <c r="B16" s="24" t="n"/>
      <c r="C16" s="24" t="n"/>
      <c r="D16" s="25" t="n"/>
      <c r="E16" s="26" t="n"/>
      <c r="F16" s="27" t="n"/>
      <c r="G16" s="28" t="n"/>
      <c r="H16" s="29">
        <f>IF(OR(E16="",F16="",C16="Call"),"",E16*100*F16)</f>
        <v/>
      </c>
      <c r="I16" s="30">
        <f>IF(AND(C16="Call",F16&lt;&gt;""),F16*100,"")</f>
        <v/>
      </c>
      <c r="J16" s="31" t="n"/>
      <c r="K16" s="31" t="n"/>
      <c r="L16" s="24" t="n"/>
      <c r="M16" s="31" t="n"/>
      <c r="N16" s="28" t="n"/>
      <c r="O16" s="26" t="n"/>
      <c r="P16" s="32">
        <f>IF(OR(B16="",M16=""),"",(N(G16)-N(N16))*N(F16)-N(O16))</f>
        <v/>
      </c>
      <c r="Q16" s="33">
        <f>IF(OR(P16="",E16="",F16="",J16=""),"",P16/(E16*100*F16)*365/MAX(1,M16-J16))</f>
        <v/>
      </c>
      <c r="R16" s="25" t="n"/>
      <c r="S16" s="24" t="n"/>
      <c r="T16" s="32">
        <f>IF(P16="","",IF(TRIM(S16)="",P16,IF(AND(COUNTIFS($S$7:$S$106,S16,$M$7:$M$106,"",$B$7:$B$106,"&lt;&gt;")=0,COUNTIFS($S$7:$S$106,S16,$M$7:$M$106,"&gt;"&amp;M16)=0,COUNTIFS($S$7:$S$106,S16,$M$7:$M$106,M16,$A$7:$A$106,"&gt;"&amp;A16)=0),SUMIFS($P$7:$P$106,$S$7:$S$106,S16),"")))</f>
        <v/>
      </c>
      <c r="U16" s="34">
        <f>IF(OR(TRIM(S16)="",B16="",M16&lt;&gt;""),"",N(G16)*N(F16)+SUMIFS($P$7:$P$106,$S$7:$S$106,S16))</f>
        <v/>
      </c>
    </row>
    <row r="17" ht="19" customHeight="1">
      <c r="A17" s="23" t="n">
        <v>11</v>
      </c>
      <c r="B17" s="24" t="n"/>
      <c r="C17" s="24" t="n"/>
      <c r="D17" s="25" t="n"/>
      <c r="E17" s="26" t="n"/>
      <c r="F17" s="27" t="n"/>
      <c r="G17" s="28" t="n"/>
      <c r="H17" s="29">
        <f>IF(OR(E17="",F17="",C17="Call"),"",E17*100*F17)</f>
        <v/>
      </c>
      <c r="I17" s="30">
        <f>IF(AND(C17="Call",F17&lt;&gt;""),F17*100,"")</f>
        <v/>
      </c>
      <c r="J17" s="31" t="n"/>
      <c r="K17" s="31" t="n"/>
      <c r="L17" s="24" t="n"/>
      <c r="M17" s="31" t="n"/>
      <c r="N17" s="28" t="n"/>
      <c r="O17" s="26" t="n"/>
      <c r="P17" s="32">
        <f>IF(OR(B17="",M17=""),"",(N(G17)-N(N17))*N(F17)-N(O17))</f>
        <v/>
      </c>
      <c r="Q17" s="33">
        <f>IF(OR(P17="",E17="",F17="",J17=""),"",P17/(E17*100*F17)*365/MAX(1,M17-J17))</f>
        <v/>
      </c>
      <c r="R17" s="25" t="n"/>
      <c r="S17" s="24" t="n"/>
      <c r="T17" s="32">
        <f>IF(P17="","",IF(TRIM(S17)="",P17,IF(AND(COUNTIFS($S$7:$S$106,S17,$M$7:$M$106,"",$B$7:$B$106,"&lt;&gt;")=0,COUNTIFS($S$7:$S$106,S17,$M$7:$M$106,"&gt;"&amp;M17)=0,COUNTIFS($S$7:$S$106,S17,$M$7:$M$106,M17,$A$7:$A$106,"&gt;"&amp;A17)=0),SUMIFS($P$7:$P$106,$S$7:$S$106,S17),"")))</f>
        <v/>
      </c>
      <c r="U17" s="34">
        <f>IF(OR(TRIM(S17)="",B17="",M17&lt;&gt;""),"",N(G17)*N(F17)+SUMIFS($P$7:$P$106,$S$7:$S$106,S17))</f>
        <v/>
      </c>
    </row>
    <row r="18" ht="19" customHeight="1">
      <c r="A18" s="23" t="n">
        <v>12</v>
      </c>
      <c r="B18" s="24" t="n"/>
      <c r="C18" s="24" t="n"/>
      <c r="D18" s="25" t="n"/>
      <c r="E18" s="26" t="n"/>
      <c r="F18" s="27" t="n"/>
      <c r="G18" s="28" t="n"/>
      <c r="H18" s="29">
        <f>IF(OR(E18="",F18="",C18="Call"),"",E18*100*F18)</f>
        <v/>
      </c>
      <c r="I18" s="30">
        <f>IF(AND(C18="Call",F18&lt;&gt;""),F18*100,"")</f>
        <v/>
      </c>
      <c r="J18" s="31" t="n"/>
      <c r="K18" s="31" t="n"/>
      <c r="L18" s="24" t="n"/>
      <c r="M18" s="31" t="n"/>
      <c r="N18" s="28" t="n"/>
      <c r="O18" s="26" t="n"/>
      <c r="P18" s="32">
        <f>IF(OR(B18="",M18=""),"",(N(G18)-N(N18))*N(F18)-N(O18))</f>
        <v/>
      </c>
      <c r="Q18" s="33">
        <f>IF(OR(P18="",E18="",F18="",J18=""),"",P18/(E18*100*F18)*365/MAX(1,M18-J18))</f>
        <v/>
      </c>
      <c r="R18" s="25" t="n"/>
      <c r="S18" s="24" t="n"/>
      <c r="T18" s="32">
        <f>IF(P18="","",IF(TRIM(S18)="",P18,IF(AND(COUNTIFS($S$7:$S$106,S18,$M$7:$M$106,"",$B$7:$B$106,"&lt;&gt;")=0,COUNTIFS($S$7:$S$106,S18,$M$7:$M$106,"&gt;"&amp;M18)=0,COUNTIFS($S$7:$S$106,S18,$M$7:$M$106,M18,$A$7:$A$106,"&gt;"&amp;A18)=0),SUMIFS($P$7:$P$106,$S$7:$S$106,S18),"")))</f>
        <v/>
      </c>
      <c r="U18" s="34">
        <f>IF(OR(TRIM(S18)="",B18="",M18&lt;&gt;""),"",N(G18)*N(F18)+SUMIFS($P$7:$P$106,$S$7:$S$106,S18))</f>
        <v/>
      </c>
    </row>
    <row r="19" ht="19" customHeight="1">
      <c r="A19" s="23" t="n">
        <v>13</v>
      </c>
      <c r="B19" s="24" t="n"/>
      <c r="C19" s="24" t="n"/>
      <c r="D19" s="25" t="n"/>
      <c r="E19" s="26" t="n"/>
      <c r="F19" s="27" t="n"/>
      <c r="G19" s="28" t="n"/>
      <c r="H19" s="29">
        <f>IF(OR(E19="",F19="",C19="Call"),"",E19*100*F19)</f>
        <v/>
      </c>
      <c r="I19" s="30">
        <f>IF(AND(C19="Call",F19&lt;&gt;""),F19*100,"")</f>
        <v/>
      </c>
      <c r="J19" s="31" t="n"/>
      <c r="K19" s="31" t="n"/>
      <c r="L19" s="24" t="n"/>
      <c r="M19" s="31" t="n"/>
      <c r="N19" s="28" t="n"/>
      <c r="O19" s="26" t="n"/>
      <c r="P19" s="32">
        <f>IF(OR(B19="",M19=""),"",(N(G19)-N(N19))*N(F19)-N(O19))</f>
        <v/>
      </c>
      <c r="Q19" s="33">
        <f>IF(OR(P19="",E19="",F19="",J19=""),"",P19/(E19*100*F19)*365/MAX(1,M19-J19))</f>
        <v/>
      </c>
      <c r="R19" s="25" t="n"/>
      <c r="S19" s="24" t="n"/>
      <c r="T19" s="32">
        <f>IF(P19="","",IF(TRIM(S19)="",P19,IF(AND(COUNTIFS($S$7:$S$106,S19,$M$7:$M$106,"",$B$7:$B$106,"&lt;&gt;")=0,COUNTIFS($S$7:$S$106,S19,$M$7:$M$106,"&gt;"&amp;M19)=0,COUNTIFS($S$7:$S$106,S19,$M$7:$M$106,M19,$A$7:$A$106,"&gt;"&amp;A19)=0),SUMIFS($P$7:$P$106,$S$7:$S$106,S19),"")))</f>
        <v/>
      </c>
      <c r="U19" s="34">
        <f>IF(OR(TRIM(S19)="",B19="",M19&lt;&gt;""),"",N(G19)*N(F19)+SUMIFS($P$7:$P$106,$S$7:$S$106,S19))</f>
        <v/>
      </c>
    </row>
    <row r="20" ht="19" customHeight="1">
      <c r="A20" s="23" t="n">
        <v>14</v>
      </c>
      <c r="B20" s="24" t="n"/>
      <c r="C20" s="24" t="n"/>
      <c r="D20" s="25" t="n"/>
      <c r="E20" s="26" t="n"/>
      <c r="F20" s="27" t="n"/>
      <c r="G20" s="28" t="n"/>
      <c r="H20" s="29">
        <f>IF(OR(E20="",F20="",C20="Call"),"",E20*100*F20)</f>
        <v/>
      </c>
      <c r="I20" s="30">
        <f>IF(AND(C20="Call",F20&lt;&gt;""),F20*100,"")</f>
        <v/>
      </c>
      <c r="J20" s="31" t="n"/>
      <c r="K20" s="31" t="n"/>
      <c r="L20" s="24" t="n"/>
      <c r="M20" s="31" t="n"/>
      <c r="N20" s="28" t="n"/>
      <c r="O20" s="26" t="n"/>
      <c r="P20" s="32">
        <f>IF(OR(B20="",M20=""),"",(N(G20)-N(N20))*N(F20)-N(O20))</f>
        <v/>
      </c>
      <c r="Q20" s="33">
        <f>IF(OR(P20="",E20="",F20="",J20=""),"",P20/(E20*100*F20)*365/MAX(1,M20-J20))</f>
        <v/>
      </c>
      <c r="R20" s="25" t="n"/>
      <c r="S20" s="24" t="n"/>
      <c r="T20" s="32">
        <f>IF(P20="","",IF(TRIM(S20)="",P20,IF(AND(COUNTIFS($S$7:$S$106,S20,$M$7:$M$106,"",$B$7:$B$106,"&lt;&gt;")=0,COUNTIFS($S$7:$S$106,S20,$M$7:$M$106,"&gt;"&amp;M20)=0,COUNTIFS($S$7:$S$106,S20,$M$7:$M$106,M20,$A$7:$A$106,"&gt;"&amp;A20)=0),SUMIFS($P$7:$P$106,$S$7:$S$106,S20),"")))</f>
        <v/>
      </c>
      <c r="U20" s="34">
        <f>IF(OR(TRIM(S20)="",B20="",M20&lt;&gt;""),"",N(G20)*N(F20)+SUMIFS($P$7:$P$106,$S$7:$S$106,S20))</f>
        <v/>
      </c>
    </row>
    <row r="21" ht="19" customHeight="1">
      <c r="A21" s="23" t="n">
        <v>15</v>
      </c>
      <c r="B21" s="24" t="n"/>
      <c r="C21" s="24" t="n"/>
      <c r="D21" s="25" t="n"/>
      <c r="E21" s="26" t="n"/>
      <c r="F21" s="27" t="n"/>
      <c r="G21" s="28" t="n"/>
      <c r="H21" s="29">
        <f>IF(OR(E21="",F21="",C21="Call"),"",E21*100*F21)</f>
        <v/>
      </c>
      <c r="I21" s="30">
        <f>IF(AND(C21="Call",F21&lt;&gt;""),F21*100,"")</f>
        <v/>
      </c>
      <c r="J21" s="31" t="n"/>
      <c r="K21" s="31" t="n"/>
      <c r="L21" s="24" t="n"/>
      <c r="M21" s="31" t="n"/>
      <c r="N21" s="28" t="n"/>
      <c r="O21" s="26" t="n"/>
      <c r="P21" s="32">
        <f>IF(OR(B21="",M21=""),"",(N(G21)-N(N21))*N(F21)-N(O21))</f>
        <v/>
      </c>
      <c r="Q21" s="33">
        <f>IF(OR(P21="",E21="",F21="",J21=""),"",P21/(E21*100*F21)*365/MAX(1,M21-J21))</f>
        <v/>
      </c>
      <c r="R21" s="25" t="n"/>
      <c r="S21" s="24" t="n"/>
      <c r="T21" s="32">
        <f>IF(P21="","",IF(TRIM(S21)="",P21,IF(AND(COUNTIFS($S$7:$S$106,S21,$M$7:$M$106,"",$B$7:$B$106,"&lt;&gt;")=0,COUNTIFS($S$7:$S$106,S21,$M$7:$M$106,"&gt;"&amp;M21)=0,COUNTIFS($S$7:$S$106,S21,$M$7:$M$106,M21,$A$7:$A$106,"&gt;"&amp;A21)=0),SUMIFS($P$7:$P$106,$S$7:$S$106,S21),"")))</f>
        <v/>
      </c>
      <c r="U21" s="34">
        <f>IF(OR(TRIM(S21)="",B21="",M21&lt;&gt;""),"",N(G21)*N(F21)+SUMIFS($P$7:$P$106,$S$7:$S$106,S21))</f>
        <v/>
      </c>
    </row>
    <row r="22" ht="19" customHeight="1">
      <c r="A22" s="23" t="n">
        <v>16</v>
      </c>
      <c r="B22" s="24" t="n"/>
      <c r="C22" s="24" t="n"/>
      <c r="D22" s="25" t="n"/>
      <c r="E22" s="26" t="n"/>
      <c r="F22" s="27" t="n"/>
      <c r="G22" s="28" t="n"/>
      <c r="H22" s="29">
        <f>IF(OR(E22="",F22="",C22="Call"),"",E22*100*F22)</f>
        <v/>
      </c>
      <c r="I22" s="30">
        <f>IF(AND(C22="Call",F22&lt;&gt;""),F22*100,"")</f>
        <v/>
      </c>
      <c r="J22" s="31" t="n"/>
      <c r="K22" s="31" t="n"/>
      <c r="L22" s="24" t="n"/>
      <c r="M22" s="31" t="n"/>
      <c r="N22" s="28" t="n"/>
      <c r="O22" s="26" t="n"/>
      <c r="P22" s="32">
        <f>IF(OR(B22="",M22=""),"",(N(G22)-N(N22))*N(F22)-N(O22))</f>
        <v/>
      </c>
      <c r="Q22" s="33">
        <f>IF(OR(P22="",E22="",F22="",J22=""),"",P22/(E22*100*F22)*365/MAX(1,M22-J22))</f>
        <v/>
      </c>
      <c r="R22" s="25" t="n"/>
      <c r="S22" s="24" t="n"/>
      <c r="T22" s="32">
        <f>IF(P22="","",IF(TRIM(S22)="",P22,IF(AND(COUNTIFS($S$7:$S$106,S22,$M$7:$M$106,"",$B$7:$B$106,"&lt;&gt;")=0,COUNTIFS($S$7:$S$106,S22,$M$7:$M$106,"&gt;"&amp;M22)=0,COUNTIFS($S$7:$S$106,S22,$M$7:$M$106,M22,$A$7:$A$106,"&gt;"&amp;A22)=0),SUMIFS($P$7:$P$106,$S$7:$S$106,S22),"")))</f>
        <v/>
      </c>
      <c r="U22" s="34">
        <f>IF(OR(TRIM(S22)="",B22="",M22&lt;&gt;""),"",N(G22)*N(F22)+SUMIFS($P$7:$P$106,$S$7:$S$106,S22))</f>
        <v/>
      </c>
    </row>
    <row r="23" ht="19" customHeight="1">
      <c r="A23" s="23" t="n">
        <v>17</v>
      </c>
      <c r="B23" s="24" t="n"/>
      <c r="C23" s="24" t="n"/>
      <c r="D23" s="25" t="n"/>
      <c r="E23" s="26" t="n"/>
      <c r="F23" s="27" t="n"/>
      <c r="G23" s="28" t="n"/>
      <c r="H23" s="29">
        <f>IF(OR(E23="",F23="",C23="Call"),"",E23*100*F23)</f>
        <v/>
      </c>
      <c r="I23" s="30">
        <f>IF(AND(C23="Call",F23&lt;&gt;""),F23*100,"")</f>
        <v/>
      </c>
      <c r="J23" s="31" t="n"/>
      <c r="K23" s="31" t="n"/>
      <c r="L23" s="24" t="n"/>
      <c r="M23" s="31" t="n"/>
      <c r="N23" s="28" t="n"/>
      <c r="O23" s="26" t="n"/>
      <c r="P23" s="32">
        <f>IF(OR(B23="",M23=""),"",(N(G23)-N(N23))*N(F23)-N(O23))</f>
        <v/>
      </c>
      <c r="Q23" s="33">
        <f>IF(OR(P23="",E23="",F23="",J23=""),"",P23/(E23*100*F23)*365/MAX(1,M23-J23))</f>
        <v/>
      </c>
      <c r="R23" s="25" t="n"/>
      <c r="S23" s="24" t="n"/>
      <c r="T23" s="32">
        <f>IF(P23="","",IF(TRIM(S23)="",P23,IF(AND(COUNTIFS($S$7:$S$106,S23,$M$7:$M$106,"",$B$7:$B$106,"&lt;&gt;")=0,COUNTIFS($S$7:$S$106,S23,$M$7:$M$106,"&gt;"&amp;M23)=0,COUNTIFS($S$7:$S$106,S23,$M$7:$M$106,M23,$A$7:$A$106,"&gt;"&amp;A23)=0),SUMIFS($P$7:$P$106,$S$7:$S$106,S23),"")))</f>
        <v/>
      </c>
      <c r="U23" s="34">
        <f>IF(OR(TRIM(S23)="",B23="",M23&lt;&gt;""),"",N(G23)*N(F23)+SUMIFS($P$7:$P$106,$S$7:$S$106,S23))</f>
        <v/>
      </c>
    </row>
    <row r="24" ht="19" customHeight="1">
      <c r="A24" s="23" t="n">
        <v>18</v>
      </c>
      <c r="B24" s="24" t="n"/>
      <c r="C24" s="24" t="n"/>
      <c r="D24" s="25" t="n"/>
      <c r="E24" s="26" t="n"/>
      <c r="F24" s="27" t="n"/>
      <c r="G24" s="28" t="n"/>
      <c r="H24" s="29">
        <f>IF(OR(E24="",F24="",C24="Call"),"",E24*100*F24)</f>
        <v/>
      </c>
      <c r="I24" s="30">
        <f>IF(AND(C24="Call",F24&lt;&gt;""),F24*100,"")</f>
        <v/>
      </c>
      <c r="J24" s="31" t="n"/>
      <c r="K24" s="31" t="n"/>
      <c r="L24" s="24" t="n"/>
      <c r="M24" s="31" t="n"/>
      <c r="N24" s="28" t="n"/>
      <c r="O24" s="26" t="n"/>
      <c r="P24" s="32">
        <f>IF(OR(B24="",M24=""),"",(N(G24)-N(N24))*N(F24)-N(O24))</f>
        <v/>
      </c>
      <c r="Q24" s="33">
        <f>IF(OR(P24="",E24="",F24="",J24=""),"",P24/(E24*100*F24)*365/MAX(1,M24-J24))</f>
        <v/>
      </c>
      <c r="R24" s="25" t="n"/>
      <c r="S24" s="24" t="n"/>
      <c r="T24" s="32">
        <f>IF(P24="","",IF(TRIM(S24)="",P24,IF(AND(COUNTIFS($S$7:$S$106,S24,$M$7:$M$106,"",$B$7:$B$106,"&lt;&gt;")=0,COUNTIFS($S$7:$S$106,S24,$M$7:$M$106,"&gt;"&amp;M24)=0,COUNTIFS($S$7:$S$106,S24,$M$7:$M$106,M24,$A$7:$A$106,"&gt;"&amp;A24)=0),SUMIFS($P$7:$P$106,$S$7:$S$106,S24),"")))</f>
        <v/>
      </c>
      <c r="U24" s="34">
        <f>IF(OR(TRIM(S24)="",B24="",M24&lt;&gt;""),"",N(G24)*N(F24)+SUMIFS($P$7:$P$106,$S$7:$S$106,S24))</f>
        <v/>
      </c>
    </row>
    <row r="25" ht="19" customHeight="1">
      <c r="A25" s="23" t="n">
        <v>19</v>
      </c>
      <c r="B25" s="24" t="n"/>
      <c r="C25" s="24" t="n"/>
      <c r="D25" s="25" t="n"/>
      <c r="E25" s="26" t="n"/>
      <c r="F25" s="27" t="n"/>
      <c r="G25" s="28" t="n"/>
      <c r="H25" s="29">
        <f>IF(OR(E25="",F25="",C25="Call"),"",E25*100*F25)</f>
        <v/>
      </c>
      <c r="I25" s="30">
        <f>IF(AND(C25="Call",F25&lt;&gt;""),F25*100,"")</f>
        <v/>
      </c>
      <c r="J25" s="31" t="n"/>
      <c r="K25" s="31" t="n"/>
      <c r="L25" s="24" t="n"/>
      <c r="M25" s="31" t="n"/>
      <c r="N25" s="28" t="n"/>
      <c r="O25" s="26" t="n"/>
      <c r="P25" s="32">
        <f>IF(OR(B25="",M25=""),"",(N(G25)-N(N25))*N(F25)-N(O25))</f>
        <v/>
      </c>
      <c r="Q25" s="33">
        <f>IF(OR(P25="",E25="",F25="",J25=""),"",P25/(E25*100*F25)*365/MAX(1,M25-J25))</f>
        <v/>
      </c>
      <c r="R25" s="25" t="n"/>
      <c r="S25" s="24" t="n"/>
      <c r="T25" s="32">
        <f>IF(P25="","",IF(TRIM(S25)="",P25,IF(AND(COUNTIFS($S$7:$S$106,S25,$M$7:$M$106,"",$B$7:$B$106,"&lt;&gt;")=0,COUNTIFS($S$7:$S$106,S25,$M$7:$M$106,"&gt;"&amp;M25)=0,COUNTIFS($S$7:$S$106,S25,$M$7:$M$106,M25,$A$7:$A$106,"&gt;"&amp;A25)=0),SUMIFS($P$7:$P$106,$S$7:$S$106,S25),"")))</f>
        <v/>
      </c>
      <c r="U25" s="34">
        <f>IF(OR(TRIM(S25)="",B25="",M25&lt;&gt;""),"",N(G25)*N(F25)+SUMIFS($P$7:$P$106,$S$7:$S$106,S25))</f>
        <v/>
      </c>
    </row>
    <row r="26" ht="19" customHeight="1">
      <c r="A26" s="23" t="n">
        <v>20</v>
      </c>
      <c r="B26" s="24" t="n"/>
      <c r="C26" s="24" t="n"/>
      <c r="D26" s="25" t="n"/>
      <c r="E26" s="26" t="n"/>
      <c r="F26" s="27" t="n"/>
      <c r="G26" s="28" t="n"/>
      <c r="H26" s="29">
        <f>IF(OR(E26="",F26="",C26="Call"),"",E26*100*F26)</f>
        <v/>
      </c>
      <c r="I26" s="30">
        <f>IF(AND(C26="Call",F26&lt;&gt;""),F26*100,"")</f>
        <v/>
      </c>
      <c r="J26" s="31" t="n"/>
      <c r="K26" s="31" t="n"/>
      <c r="L26" s="24" t="n"/>
      <c r="M26" s="31" t="n"/>
      <c r="N26" s="28" t="n"/>
      <c r="O26" s="26" t="n"/>
      <c r="P26" s="32">
        <f>IF(OR(B26="",M26=""),"",(N(G26)-N(N26))*N(F26)-N(O26))</f>
        <v/>
      </c>
      <c r="Q26" s="33">
        <f>IF(OR(P26="",E26="",F26="",J26=""),"",P26/(E26*100*F26)*365/MAX(1,M26-J26))</f>
        <v/>
      </c>
      <c r="R26" s="25" t="n"/>
      <c r="S26" s="24" t="n"/>
      <c r="T26" s="32">
        <f>IF(P26="","",IF(TRIM(S26)="",P26,IF(AND(COUNTIFS($S$7:$S$106,S26,$M$7:$M$106,"",$B$7:$B$106,"&lt;&gt;")=0,COUNTIFS($S$7:$S$106,S26,$M$7:$M$106,"&gt;"&amp;M26)=0,COUNTIFS($S$7:$S$106,S26,$M$7:$M$106,M26,$A$7:$A$106,"&gt;"&amp;A26)=0),SUMIFS($P$7:$P$106,$S$7:$S$106,S26),"")))</f>
        <v/>
      </c>
      <c r="U26" s="34">
        <f>IF(OR(TRIM(S26)="",B26="",M26&lt;&gt;""),"",N(G26)*N(F26)+SUMIFS($P$7:$P$106,$S$7:$S$106,S26))</f>
        <v/>
      </c>
    </row>
    <row r="27" ht="19" customHeight="1">
      <c r="A27" s="23" t="n">
        <v>21</v>
      </c>
      <c r="B27" s="24" t="n"/>
      <c r="C27" s="24" t="n"/>
      <c r="D27" s="25" t="n"/>
      <c r="E27" s="26" t="n"/>
      <c r="F27" s="27" t="n"/>
      <c r="G27" s="28" t="n"/>
      <c r="H27" s="29">
        <f>IF(OR(E27="",F27="",C27="Call"),"",E27*100*F27)</f>
        <v/>
      </c>
      <c r="I27" s="30">
        <f>IF(AND(C27="Call",F27&lt;&gt;""),F27*100,"")</f>
        <v/>
      </c>
      <c r="J27" s="31" t="n"/>
      <c r="K27" s="31" t="n"/>
      <c r="L27" s="24" t="n"/>
      <c r="M27" s="31" t="n"/>
      <c r="N27" s="28" t="n"/>
      <c r="O27" s="26" t="n"/>
      <c r="P27" s="32">
        <f>IF(OR(B27="",M27=""),"",(N(G27)-N(N27))*N(F27)-N(O27))</f>
        <v/>
      </c>
      <c r="Q27" s="33">
        <f>IF(OR(P27="",E27="",F27="",J27=""),"",P27/(E27*100*F27)*365/MAX(1,M27-J27))</f>
        <v/>
      </c>
      <c r="R27" s="25" t="n"/>
      <c r="S27" s="24" t="n"/>
      <c r="T27" s="32">
        <f>IF(P27="","",IF(TRIM(S27)="",P27,IF(AND(COUNTIFS($S$7:$S$106,S27,$M$7:$M$106,"",$B$7:$B$106,"&lt;&gt;")=0,COUNTIFS($S$7:$S$106,S27,$M$7:$M$106,"&gt;"&amp;M27)=0,COUNTIFS($S$7:$S$106,S27,$M$7:$M$106,M27,$A$7:$A$106,"&gt;"&amp;A27)=0),SUMIFS($P$7:$P$106,$S$7:$S$106,S27),"")))</f>
        <v/>
      </c>
      <c r="U27" s="34">
        <f>IF(OR(TRIM(S27)="",B27="",M27&lt;&gt;""),"",N(G27)*N(F27)+SUMIFS($P$7:$P$106,$S$7:$S$106,S27))</f>
        <v/>
      </c>
    </row>
    <row r="28" ht="19" customHeight="1">
      <c r="A28" s="23" t="n">
        <v>22</v>
      </c>
      <c r="B28" s="24" t="n"/>
      <c r="C28" s="24" t="n"/>
      <c r="D28" s="25" t="n"/>
      <c r="E28" s="26" t="n"/>
      <c r="F28" s="27" t="n"/>
      <c r="G28" s="28" t="n"/>
      <c r="H28" s="29">
        <f>IF(OR(E28="",F28="",C28="Call"),"",E28*100*F28)</f>
        <v/>
      </c>
      <c r="I28" s="30">
        <f>IF(AND(C28="Call",F28&lt;&gt;""),F28*100,"")</f>
        <v/>
      </c>
      <c r="J28" s="31" t="n"/>
      <c r="K28" s="31" t="n"/>
      <c r="L28" s="24" t="n"/>
      <c r="M28" s="31" t="n"/>
      <c r="N28" s="28" t="n"/>
      <c r="O28" s="26" t="n"/>
      <c r="P28" s="32">
        <f>IF(OR(B28="",M28=""),"",(N(G28)-N(N28))*N(F28)-N(O28))</f>
        <v/>
      </c>
      <c r="Q28" s="33">
        <f>IF(OR(P28="",E28="",F28="",J28=""),"",P28/(E28*100*F28)*365/MAX(1,M28-J28))</f>
        <v/>
      </c>
      <c r="R28" s="25" t="n"/>
      <c r="S28" s="24" t="n"/>
      <c r="T28" s="32">
        <f>IF(P28="","",IF(TRIM(S28)="",P28,IF(AND(COUNTIFS($S$7:$S$106,S28,$M$7:$M$106,"",$B$7:$B$106,"&lt;&gt;")=0,COUNTIFS($S$7:$S$106,S28,$M$7:$M$106,"&gt;"&amp;M28)=0,COUNTIFS($S$7:$S$106,S28,$M$7:$M$106,M28,$A$7:$A$106,"&gt;"&amp;A28)=0),SUMIFS($P$7:$P$106,$S$7:$S$106,S28),"")))</f>
        <v/>
      </c>
      <c r="U28" s="34">
        <f>IF(OR(TRIM(S28)="",B28="",M28&lt;&gt;""),"",N(G28)*N(F28)+SUMIFS($P$7:$P$106,$S$7:$S$106,S28))</f>
        <v/>
      </c>
    </row>
    <row r="29" ht="19" customHeight="1">
      <c r="A29" s="23" t="n">
        <v>23</v>
      </c>
      <c r="B29" s="24" t="n"/>
      <c r="C29" s="24" t="n"/>
      <c r="D29" s="25" t="n"/>
      <c r="E29" s="26" t="n"/>
      <c r="F29" s="27" t="n"/>
      <c r="G29" s="28" t="n"/>
      <c r="H29" s="29">
        <f>IF(OR(E29="",F29="",C29="Call"),"",E29*100*F29)</f>
        <v/>
      </c>
      <c r="I29" s="30">
        <f>IF(AND(C29="Call",F29&lt;&gt;""),F29*100,"")</f>
        <v/>
      </c>
      <c r="J29" s="31" t="n"/>
      <c r="K29" s="31" t="n"/>
      <c r="L29" s="24" t="n"/>
      <c r="M29" s="31" t="n"/>
      <c r="N29" s="28" t="n"/>
      <c r="O29" s="26" t="n"/>
      <c r="P29" s="32">
        <f>IF(OR(B29="",M29=""),"",(N(G29)-N(N29))*N(F29)-N(O29))</f>
        <v/>
      </c>
      <c r="Q29" s="33">
        <f>IF(OR(P29="",E29="",F29="",J29=""),"",P29/(E29*100*F29)*365/MAX(1,M29-J29))</f>
        <v/>
      </c>
      <c r="R29" s="25" t="n"/>
      <c r="S29" s="24" t="n"/>
      <c r="T29" s="32">
        <f>IF(P29="","",IF(TRIM(S29)="",P29,IF(AND(COUNTIFS($S$7:$S$106,S29,$M$7:$M$106,"",$B$7:$B$106,"&lt;&gt;")=0,COUNTIFS($S$7:$S$106,S29,$M$7:$M$106,"&gt;"&amp;M29)=0,COUNTIFS($S$7:$S$106,S29,$M$7:$M$106,M29,$A$7:$A$106,"&gt;"&amp;A29)=0),SUMIFS($P$7:$P$106,$S$7:$S$106,S29),"")))</f>
        <v/>
      </c>
      <c r="U29" s="34">
        <f>IF(OR(TRIM(S29)="",B29="",M29&lt;&gt;""),"",N(G29)*N(F29)+SUMIFS($P$7:$P$106,$S$7:$S$106,S29))</f>
        <v/>
      </c>
    </row>
    <row r="30" ht="19" customHeight="1">
      <c r="A30" s="23" t="n">
        <v>24</v>
      </c>
      <c r="B30" s="24" t="n"/>
      <c r="C30" s="24" t="n"/>
      <c r="D30" s="25" t="n"/>
      <c r="E30" s="26" t="n"/>
      <c r="F30" s="27" t="n"/>
      <c r="G30" s="28" t="n"/>
      <c r="H30" s="29">
        <f>IF(OR(E30="",F30="",C30="Call"),"",E30*100*F30)</f>
        <v/>
      </c>
      <c r="I30" s="30">
        <f>IF(AND(C30="Call",F30&lt;&gt;""),F30*100,"")</f>
        <v/>
      </c>
      <c r="J30" s="31" t="n"/>
      <c r="K30" s="31" t="n"/>
      <c r="L30" s="24" t="n"/>
      <c r="M30" s="31" t="n"/>
      <c r="N30" s="28" t="n"/>
      <c r="O30" s="26" t="n"/>
      <c r="P30" s="32">
        <f>IF(OR(B30="",M30=""),"",(N(G30)-N(N30))*N(F30)-N(O30))</f>
        <v/>
      </c>
      <c r="Q30" s="33">
        <f>IF(OR(P30="",E30="",F30="",J30=""),"",P30/(E30*100*F30)*365/MAX(1,M30-J30))</f>
        <v/>
      </c>
      <c r="R30" s="25" t="n"/>
      <c r="S30" s="24" t="n"/>
      <c r="T30" s="32">
        <f>IF(P30="","",IF(TRIM(S30)="",P30,IF(AND(COUNTIFS($S$7:$S$106,S30,$M$7:$M$106,"",$B$7:$B$106,"&lt;&gt;")=0,COUNTIFS($S$7:$S$106,S30,$M$7:$M$106,"&gt;"&amp;M30)=0,COUNTIFS($S$7:$S$106,S30,$M$7:$M$106,M30,$A$7:$A$106,"&gt;"&amp;A30)=0),SUMIFS($P$7:$P$106,$S$7:$S$106,S30),"")))</f>
        <v/>
      </c>
      <c r="U30" s="34">
        <f>IF(OR(TRIM(S30)="",B30="",M30&lt;&gt;""),"",N(G30)*N(F30)+SUMIFS($P$7:$P$106,$S$7:$S$106,S30))</f>
        <v/>
      </c>
    </row>
    <row r="31" ht="19" customHeight="1">
      <c r="A31" s="23" t="n">
        <v>25</v>
      </c>
      <c r="B31" s="24" t="n"/>
      <c r="C31" s="24" t="n"/>
      <c r="D31" s="25" t="n"/>
      <c r="E31" s="26" t="n"/>
      <c r="F31" s="27" t="n"/>
      <c r="G31" s="28" t="n"/>
      <c r="H31" s="29">
        <f>IF(OR(E31="",F31="",C31="Call"),"",E31*100*F31)</f>
        <v/>
      </c>
      <c r="I31" s="30">
        <f>IF(AND(C31="Call",F31&lt;&gt;""),F31*100,"")</f>
        <v/>
      </c>
      <c r="J31" s="31" t="n"/>
      <c r="K31" s="31" t="n"/>
      <c r="L31" s="24" t="n"/>
      <c r="M31" s="31" t="n"/>
      <c r="N31" s="28" t="n"/>
      <c r="O31" s="26" t="n"/>
      <c r="P31" s="32">
        <f>IF(OR(B31="",M31=""),"",(N(G31)-N(N31))*N(F31)-N(O31))</f>
        <v/>
      </c>
      <c r="Q31" s="33">
        <f>IF(OR(P31="",E31="",F31="",J31=""),"",P31/(E31*100*F31)*365/MAX(1,M31-J31))</f>
        <v/>
      </c>
      <c r="R31" s="25" t="n"/>
      <c r="S31" s="24" t="n"/>
      <c r="T31" s="32">
        <f>IF(P31="","",IF(TRIM(S31)="",P31,IF(AND(COUNTIFS($S$7:$S$106,S31,$M$7:$M$106,"",$B$7:$B$106,"&lt;&gt;")=0,COUNTIFS($S$7:$S$106,S31,$M$7:$M$106,"&gt;"&amp;M31)=0,COUNTIFS($S$7:$S$106,S31,$M$7:$M$106,M31,$A$7:$A$106,"&gt;"&amp;A31)=0),SUMIFS($P$7:$P$106,$S$7:$S$106,S31),"")))</f>
        <v/>
      </c>
      <c r="U31" s="34">
        <f>IF(OR(TRIM(S31)="",B31="",M31&lt;&gt;""),"",N(G31)*N(F31)+SUMIFS($P$7:$P$106,$S$7:$S$106,S31))</f>
        <v/>
      </c>
    </row>
    <row r="32" ht="19" customHeight="1">
      <c r="A32" s="23" t="n">
        <v>26</v>
      </c>
      <c r="B32" s="24" t="n"/>
      <c r="C32" s="24" t="n"/>
      <c r="D32" s="25" t="n"/>
      <c r="E32" s="26" t="n"/>
      <c r="F32" s="27" t="n"/>
      <c r="G32" s="28" t="n"/>
      <c r="H32" s="29">
        <f>IF(OR(E32="",F32="",C32="Call"),"",E32*100*F32)</f>
        <v/>
      </c>
      <c r="I32" s="30">
        <f>IF(AND(C32="Call",F32&lt;&gt;""),F32*100,"")</f>
        <v/>
      </c>
      <c r="J32" s="31" t="n"/>
      <c r="K32" s="31" t="n"/>
      <c r="L32" s="24" t="n"/>
      <c r="M32" s="31" t="n"/>
      <c r="N32" s="28" t="n"/>
      <c r="O32" s="26" t="n"/>
      <c r="P32" s="32">
        <f>IF(OR(B32="",M32=""),"",(N(G32)-N(N32))*N(F32)-N(O32))</f>
        <v/>
      </c>
      <c r="Q32" s="33">
        <f>IF(OR(P32="",E32="",F32="",J32=""),"",P32/(E32*100*F32)*365/MAX(1,M32-J32))</f>
        <v/>
      </c>
      <c r="R32" s="25" t="n"/>
      <c r="S32" s="24" t="n"/>
      <c r="T32" s="32">
        <f>IF(P32="","",IF(TRIM(S32)="",P32,IF(AND(COUNTIFS($S$7:$S$106,S32,$M$7:$M$106,"",$B$7:$B$106,"&lt;&gt;")=0,COUNTIFS($S$7:$S$106,S32,$M$7:$M$106,"&gt;"&amp;M32)=0,COUNTIFS($S$7:$S$106,S32,$M$7:$M$106,M32,$A$7:$A$106,"&gt;"&amp;A32)=0),SUMIFS($P$7:$P$106,$S$7:$S$106,S32),"")))</f>
        <v/>
      </c>
      <c r="U32" s="34">
        <f>IF(OR(TRIM(S32)="",B32="",M32&lt;&gt;""),"",N(G32)*N(F32)+SUMIFS($P$7:$P$106,$S$7:$S$106,S32))</f>
        <v/>
      </c>
    </row>
    <row r="33" ht="19" customHeight="1">
      <c r="A33" s="23" t="n">
        <v>27</v>
      </c>
      <c r="B33" s="24" t="n"/>
      <c r="C33" s="24" t="n"/>
      <c r="D33" s="25" t="n"/>
      <c r="E33" s="26" t="n"/>
      <c r="F33" s="27" t="n"/>
      <c r="G33" s="28" t="n"/>
      <c r="H33" s="29">
        <f>IF(OR(E33="",F33="",C33="Call"),"",E33*100*F33)</f>
        <v/>
      </c>
      <c r="I33" s="30">
        <f>IF(AND(C33="Call",F33&lt;&gt;""),F33*100,"")</f>
        <v/>
      </c>
      <c r="J33" s="31" t="n"/>
      <c r="K33" s="31" t="n"/>
      <c r="L33" s="24" t="n"/>
      <c r="M33" s="31" t="n"/>
      <c r="N33" s="28" t="n"/>
      <c r="O33" s="26" t="n"/>
      <c r="P33" s="32">
        <f>IF(OR(B33="",M33=""),"",(N(G33)-N(N33))*N(F33)-N(O33))</f>
        <v/>
      </c>
      <c r="Q33" s="33">
        <f>IF(OR(P33="",E33="",F33="",J33=""),"",P33/(E33*100*F33)*365/MAX(1,M33-J33))</f>
        <v/>
      </c>
      <c r="R33" s="25" t="n"/>
      <c r="S33" s="24" t="n"/>
      <c r="T33" s="32">
        <f>IF(P33="","",IF(TRIM(S33)="",P33,IF(AND(COUNTIFS($S$7:$S$106,S33,$M$7:$M$106,"",$B$7:$B$106,"&lt;&gt;")=0,COUNTIFS($S$7:$S$106,S33,$M$7:$M$106,"&gt;"&amp;M33)=0,COUNTIFS($S$7:$S$106,S33,$M$7:$M$106,M33,$A$7:$A$106,"&gt;"&amp;A33)=0),SUMIFS($P$7:$P$106,$S$7:$S$106,S33),"")))</f>
        <v/>
      </c>
      <c r="U33" s="34">
        <f>IF(OR(TRIM(S33)="",B33="",M33&lt;&gt;""),"",N(G33)*N(F33)+SUMIFS($P$7:$P$106,$S$7:$S$106,S33))</f>
        <v/>
      </c>
    </row>
    <row r="34" ht="19" customHeight="1">
      <c r="A34" s="23" t="n">
        <v>28</v>
      </c>
      <c r="B34" s="24" t="n"/>
      <c r="C34" s="24" t="n"/>
      <c r="D34" s="25" t="n"/>
      <c r="E34" s="26" t="n"/>
      <c r="F34" s="27" t="n"/>
      <c r="G34" s="28" t="n"/>
      <c r="H34" s="29">
        <f>IF(OR(E34="",F34="",C34="Call"),"",E34*100*F34)</f>
        <v/>
      </c>
      <c r="I34" s="30">
        <f>IF(AND(C34="Call",F34&lt;&gt;""),F34*100,"")</f>
        <v/>
      </c>
      <c r="J34" s="31" t="n"/>
      <c r="K34" s="31" t="n"/>
      <c r="L34" s="24" t="n"/>
      <c r="M34" s="31" t="n"/>
      <c r="N34" s="28" t="n"/>
      <c r="O34" s="26" t="n"/>
      <c r="P34" s="32">
        <f>IF(OR(B34="",M34=""),"",(N(G34)-N(N34))*N(F34)-N(O34))</f>
        <v/>
      </c>
      <c r="Q34" s="33">
        <f>IF(OR(P34="",E34="",F34="",J34=""),"",P34/(E34*100*F34)*365/MAX(1,M34-J34))</f>
        <v/>
      </c>
      <c r="R34" s="25" t="n"/>
      <c r="S34" s="24" t="n"/>
      <c r="T34" s="32">
        <f>IF(P34="","",IF(TRIM(S34)="",P34,IF(AND(COUNTIFS($S$7:$S$106,S34,$M$7:$M$106,"",$B$7:$B$106,"&lt;&gt;")=0,COUNTIFS($S$7:$S$106,S34,$M$7:$M$106,"&gt;"&amp;M34)=0,COUNTIFS($S$7:$S$106,S34,$M$7:$M$106,M34,$A$7:$A$106,"&gt;"&amp;A34)=0),SUMIFS($P$7:$P$106,$S$7:$S$106,S34),"")))</f>
        <v/>
      </c>
      <c r="U34" s="34">
        <f>IF(OR(TRIM(S34)="",B34="",M34&lt;&gt;""),"",N(G34)*N(F34)+SUMIFS($P$7:$P$106,$S$7:$S$106,S34))</f>
        <v/>
      </c>
    </row>
    <row r="35" ht="19" customHeight="1">
      <c r="A35" s="23" t="n">
        <v>29</v>
      </c>
      <c r="B35" s="24" t="n"/>
      <c r="C35" s="24" t="n"/>
      <c r="D35" s="25" t="n"/>
      <c r="E35" s="26" t="n"/>
      <c r="F35" s="27" t="n"/>
      <c r="G35" s="28" t="n"/>
      <c r="H35" s="29">
        <f>IF(OR(E35="",F35="",C35="Call"),"",E35*100*F35)</f>
        <v/>
      </c>
      <c r="I35" s="30">
        <f>IF(AND(C35="Call",F35&lt;&gt;""),F35*100,"")</f>
        <v/>
      </c>
      <c r="J35" s="31" t="n"/>
      <c r="K35" s="31" t="n"/>
      <c r="L35" s="24" t="n"/>
      <c r="M35" s="31" t="n"/>
      <c r="N35" s="28" t="n"/>
      <c r="O35" s="26" t="n"/>
      <c r="P35" s="32">
        <f>IF(OR(B35="",M35=""),"",(N(G35)-N(N35))*N(F35)-N(O35))</f>
        <v/>
      </c>
      <c r="Q35" s="33">
        <f>IF(OR(P35="",E35="",F35="",J35=""),"",P35/(E35*100*F35)*365/MAX(1,M35-J35))</f>
        <v/>
      </c>
      <c r="R35" s="25" t="n"/>
      <c r="S35" s="24" t="n"/>
      <c r="T35" s="32">
        <f>IF(P35="","",IF(TRIM(S35)="",P35,IF(AND(COUNTIFS($S$7:$S$106,S35,$M$7:$M$106,"",$B$7:$B$106,"&lt;&gt;")=0,COUNTIFS($S$7:$S$106,S35,$M$7:$M$106,"&gt;"&amp;M35)=0,COUNTIFS($S$7:$S$106,S35,$M$7:$M$106,M35,$A$7:$A$106,"&gt;"&amp;A35)=0),SUMIFS($P$7:$P$106,$S$7:$S$106,S35),"")))</f>
        <v/>
      </c>
      <c r="U35" s="34">
        <f>IF(OR(TRIM(S35)="",B35="",M35&lt;&gt;""),"",N(G35)*N(F35)+SUMIFS($P$7:$P$106,$S$7:$S$106,S35))</f>
        <v/>
      </c>
    </row>
    <row r="36" ht="19" customHeight="1">
      <c r="A36" s="23" t="n">
        <v>30</v>
      </c>
      <c r="B36" s="24" t="n"/>
      <c r="C36" s="24" t="n"/>
      <c r="D36" s="25" t="n"/>
      <c r="E36" s="26" t="n"/>
      <c r="F36" s="27" t="n"/>
      <c r="G36" s="28" t="n"/>
      <c r="H36" s="29">
        <f>IF(OR(E36="",F36="",C36="Call"),"",E36*100*F36)</f>
        <v/>
      </c>
      <c r="I36" s="30">
        <f>IF(AND(C36="Call",F36&lt;&gt;""),F36*100,"")</f>
        <v/>
      </c>
      <c r="J36" s="31" t="n"/>
      <c r="K36" s="31" t="n"/>
      <c r="L36" s="24" t="n"/>
      <c r="M36" s="31" t="n"/>
      <c r="N36" s="28" t="n"/>
      <c r="O36" s="26" t="n"/>
      <c r="P36" s="32">
        <f>IF(OR(B36="",M36=""),"",(N(G36)-N(N36))*N(F36)-N(O36))</f>
        <v/>
      </c>
      <c r="Q36" s="33">
        <f>IF(OR(P36="",E36="",F36="",J36=""),"",P36/(E36*100*F36)*365/MAX(1,M36-J36))</f>
        <v/>
      </c>
      <c r="R36" s="25" t="n"/>
      <c r="S36" s="24" t="n"/>
      <c r="T36" s="32">
        <f>IF(P36="","",IF(TRIM(S36)="",P36,IF(AND(COUNTIFS($S$7:$S$106,S36,$M$7:$M$106,"",$B$7:$B$106,"&lt;&gt;")=0,COUNTIFS($S$7:$S$106,S36,$M$7:$M$106,"&gt;"&amp;M36)=0,COUNTIFS($S$7:$S$106,S36,$M$7:$M$106,M36,$A$7:$A$106,"&gt;"&amp;A36)=0),SUMIFS($P$7:$P$106,$S$7:$S$106,S36),"")))</f>
        <v/>
      </c>
      <c r="U36" s="34">
        <f>IF(OR(TRIM(S36)="",B36="",M36&lt;&gt;""),"",N(G36)*N(F36)+SUMIFS($P$7:$P$106,$S$7:$S$106,S36))</f>
        <v/>
      </c>
    </row>
    <row r="37" ht="19" customHeight="1">
      <c r="A37" s="23" t="n">
        <v>31</v>
      </c>
      <c r="B37" s="24" t="n"/>
      <c r="C37" s="24" t="n"/>
      <c r="D37" s="25" t="n"/>
      <c r="E37" s="26" t="n"/>
      <c r="F37" s="27" t="n"/>
      <c r="G37" s="28" t="n"/>
      <c r="H37" s="29">
        <f>IF(OR(E37="",F37="",C37="Call"),"",E37*100*F37)</f>
        <v/>
      </c>
      <c r="I37" s="30">
        <f>IF(AND(C37="Call",F37&lt;&gt;""),F37*100,"")</f>
        <v/>
      </c>
      <c r="J37" s="31" t="n"/>
      <c r="K37" s="31" t="n"/>
      <c r="L37" s="24" t="n"/>
      <c r="M37" s="31" t="n"/>
      <c r="N37" s="28" t="n"/>
      <c r="O37" s="26" t="n"/>
      <c r="P37" s="32">
        <f>IF(OR(B37="",M37=""),"",(N(G37)-N(N37))*N(F37)-N(O37))</f>
        <v/>
      </c>
      <c r="Q37" s="33">
        <f>IF(OR(P37="",E37="",F37="",J37=""),"",P37/(E37*100*F37)*365/MAX(1,M37-J37))</f>
        <v/>
      </c>
      <c r="R37" s="25" t="n"/>
      <c r="S37" s="24" t="n"/>
      <c r="T37" s="32">
        <f>IF(P37="","",IF(TRIM(S37)="",P37,IF(AND(COUNTIFS($S$7:$S$106,S37,$M$7:$M$106,"",$B$7:$B$106,"&lt;&gt;")=0,COUNTIFS($S$7:$S$106,S37,$M$7:$M$106,"&gt;"&amp;M37)=0,COUNTIFS($S$7:$S$106,S37,$M$7:$M$106,M37,$A$7:$A$106,"&gt;"&amp;A37)=0),SUMIFS($P$7:$P$106,$S$7:$S$106,S37),"")))</f>
        <v/>
      </c>
      <c r="U37" s="34">
        <f>IF(OR(TRIM(S37)="",B37="",M37&lt;&gt;""),"",N(G37)*N(F37)+SUMIFS($P$7:$P$106,$S$7:$S$106,S37))</f>
        <v/>
      </c>
    </row>
    <row r="38" ht="19" customHeight="1">
      <c r="A38" s="23" t="n">
        <v>32</v>
      </c>
      <c r="B38" s="24" t="n"/>
      <c r="C38" s="24" t="n"/>
      <c r="D38" s="25" t="n"/>
      <c r="E38" s="26" t="n"/>
      <c r="F38" s="27" t="n"/>
      <c r="G38" s="28" t="n"/>
      <c r="H38" s="29">
        <f>IF(OR(E38="",F38="",C38="Call"),"",E38*100*F38)</f>
        <v/>
      </c>
      <c r="I38" s="30">
        <f>IF(AND(C38="Call",F38&lt;&gt;""),F38*100,"")</f>
        <v/>
      </c>
      <c r="J38" s="31" t="n"/>
      <c r="K38" s="31" t="n"/>
      <c r="L38" s="24" t="n"/>
      <c r="M38" s="31" t="n"/>
      <c r="N38" s="28" t="n"/>
      <c r="O38" s="26" t="n"/>
      <c r="P38" s="32">
        <f>IF(OR(B38="",M38=""),"",(N(G38)-N(N38))*N(F38)-N(O38))</f>
        <v/>
      </c>
      <c r="Q38" s="33">
        <f>IF(OR(P38="",E38="",F38="",J38=""),"",P38/(E38*100*F38)*365/MAX(1,M38-J38))</f>
        <v/>
      </c>
      <c r="R38" s="25" t="n"/>
      <c r="S38" s="24" t="n"/>
      <c r="T38" s="32">
        <f>IF(P38="","",IF(TRIM(S38)="",P38,IF(AND(COUNTIFS($S$7:$S$106,S38,$M$7:$M$106,"",$B$7:$B$106,"&lt;&gt;")=0,COUNTIFS($S$7:$S$106,S38,$M$7:$M$106,"&gt;"&amp;M38)=0,COUNTIFS($S$7:$S$106,S38,$M$7:$M$106,M38,$A$7:$A$106,"&gt;"&amp;A38)=0),SUMIFS($P$7:$P$106,$S$7:$S$106,S38),"")))</f>
        <v/>
      </c>
      <c r="U38" s="34">
        <f>IF(OR(TRIM(S38)="",B38="",M38&lt;&gt;""),"",N(G38)*N(F38)+SUMIFS($P$7:$P$106,$S$7:$S$106,S38))</f>
        <v/>
      </c>
    </row>
    <row r="39" ht="19" customHeight="1">
      <c r="A39" s="23" t="n">
        <v>33</v>
      </c>
      <c r="B39" s="24" t="n"/>
      <c r="C39" s="24" t="n"/>
      <c r="D39" s="25" t="n"/>
      <c r="E39" s="26" t="n"/>
      <c r="F39" s="27" t="n"/>
      <c r="G39" s="28" t="n"/>
      <c r="H39" s="29">
        <f>IF(OR(E39="",F39="",C39="Call"),"",E39*100*F39)</f>
        <v/>
      </c>
      <c r="I39" s="30">
        <f>IF(AND(C39="Call",F39&lt;&gt;""),F39*100,"")</f>
        <v/>
      </c>
      <c r="J39" s="31" t="n"/>
      <c r="K39" s="31" t="n"/>
      <c r="L39" s="24" t="n"/>
      <c r="M39" s="31" t="n"/>
      <c r="N39" s="28" t="n"/>
      <c r="O39" s="26" t="n"/>
      <c r="P39" s="32">
        <f>IF(OR(B39="",M39=""),"",(N(G39)-N(N39))*N(F39)-N(O39))</f>
        <v/>
      </c>
      <c r="Q39" s="33">
        <f>IF(OR(P39="",E39="",F39="",J39=""),"",P39/(E39*100*F39)*365/MAX(1,M39-J39))</f>
        <v/>
      </c>
      <c r="R39" s="25" t="n"/>
      <c r="S39" s="24" t="n"/>
      <c r="T39" s="32">
        <f>IF(P39="","",IF(TRIM(S39)="",P39,IF(AND(COUNTIFS($S$7:$S$106,S39,$M$7:$M$106,"",$B$7:$B$106,"&lt;&gt;")=0,COUNTIFS($S$7:$S$106,S39,$M$7:$M$106,"&gt;"&amp;M39)=0,COUNTIFS($S$7:$S$106,S39,$M$7:$M$106,M39,$A$7:$A$106,"&gt;"&amp;A39)=0),SUMIFS($P$7:$P$106,$S$7:$S$106,S39),"")))</f>
        <v/>
      </c>
      <c r="U39" s="34">
        <f>IF(OR(TRIM(S39)="",B39="",M39&lt;&gt;""),"",N(G39)*N(F39)+SUMIFS($P$7:$P$106,$S$7:$S$106,S39))</f>
        <v/>
      </c>
    </row>
    <row r="40" ht="19" customHeight="1">
      <c r="A40" s="23" t="n">
        <v>34</v>
      </c>
      <c r="B40" s="24" t="n"/>
      <c r="C40" s="24" t="n"/>
      <c r="D40" s="25" t="n"/>
      <c r="E40" s="26" t="n"/>
      <c r="F40" s="27" t="n"/>
      <c r="G40" s="28" t="n"/>
      <c r="H40" s="29">
        <f>IF(OR(E40="",F40="",C40="Call"),"",E40*100*F40)</f>
        <v/>
      </c>
      <c r="I40" s="30">
        <f>IF(AND(C40="Call",F40&lt;&gt;""),F40*100,"")</f>
        <v/>
      </c>
      <c r="J40" s="31" t="n"/>
      <c r="K40" s="31" t="n"/>
      <c r="L40" s="24" t="n"/>
      <c r="M40" s="31" t="n"/>
      <c r="N40" s="28" t="n"/>
      <c r="O40" s="26" t="n"/>
      <c r="P40" s="32">
        <f>IF(OR(B40="",M40=""),"",(N(G40)-N(N40))*N(F40)-N(O40))</f>
        <v/>
      </c>
      <c r="Q40" s="33">
        <f>IF(OR(P40="",E40="",F40="",J40=""),"",P40/(E40*100*F40)*365/MAX(1,M40-J40))</f>
        <v/>
      </c>
      <c r="R40" s="25" t="n"/>
      <c r="S40" s="24" t="n"/>
      <c r="T40" s="32">
        <f>IF(P40="","",IF(TRIM(S40)="",P40,IF(AND(COUNTIFS($S$7:$S$106,S40,$M$7:$M$106,"",$B$7:$B$106,"&lt;&gt;")=0,COUNTIFS($S$7:$S$106,S40,$M$7:$M$106,"&gt;"&amp;M40)=0,COUNTIFS($S$7:$S$106,S40,$M$7:$M$106,M40,$A$7:$A$106,"&gt;"&amp;A40)=0),SUMIFS($P$7:$P$106,$S$7:$S$106,S40),"")))</f>
        <v/>
      </c>
      <c r="U40" s="34">
        <f>IF(OR(TRIM(S40)="",B40="",M40&lt;&gt;""),"",N(G40)*N(F40)+SUMIFS($P$7:$P$106,$S$7:$S$106,S40))</f>
        <v/>
      </c>
    </row>
    <row r="41" ht="19" customHeight="1">
      <c r="A41" s="23" t="n">
        <v>35</v>
      </c>
      <c r="B41" s="24" t="n"/>
      <c r="C41" s="24" t="n"/>
      <c r="D41" s="25" t="n"/>
      <c r="E41" s="26" t="n"/>
      <c r="F41" s="27" t="n"/>
      <c r="G41" s="28" t="n"/>
      <c r="H41" s="29">
        <f>IF(OR(E41="",F41="",C41="Call"),"",E41*100*F41)</f>
        <v/>
      </c>
      <c r="I41" s="30">
        <f>IF(AND(C41="Call",F41&lt;&gt;""),F41*100,"")</f>
        <v/>
      </c>
      <c r="J41" s="31" t="n"/>
      <c r="K41" s="31" t="n"/>
      <c r="L41" s="24" t="n"/>
      <c r="M41" s="31" t="n"/>
      <c r="N41" s="28" t="n"/>
      <c r="O41" s="26" t="n"/>
      <c r="P41" s="32">
        <f>IF(OR(B41="",M41=""),"",(N(G41)-N(N41))*N(F41)-N(O41))</f>
        <v/>
      </c>
      <c r="Q41" s="33">
        <f>IF(OR(P41="",E41="",F41="",J41=""),"",P41/(E41*100*F41)*365/MAX(1,M41-J41))</f>
        <v/>
      </c>
      <c r="R41" s="25" t="n"/>
      <c r="S41" s="24" t="n"/>
      <c r="T41" s="32">
        <f>IF(P41="","",IF(TRIM(S41)="",P41,IF(AND(COUNTIFS($S$7:$S$106,S41,$M$7:$M$106,"",$B$7:$B$106,"&lt;&gt;")=0,COUNTIFS($S$7:$S$106,S41,$M$7:$M$106,"&gt;"&amp;M41)=0,COUNTIFS($S$7:$S$106,S41,$M$7:$M$106,M41,$A$7:$A$106,"&gt;"&amp;A41)=0),SUMIFS($P$7:$P$106,$S$7:$S$106,S41),"")))</f>
        <v/>
      </c>
      <c r="U41" s="34">
        <f>IF(OR(TRIM(S41)="",B41="",M41&lt;&gt;""),"",N(G41)*N(F41)+SUMIFS($P$7:$P$106,$S$7:$S$106,S41))</f>
        <v/>
      </c>
    </row>
    <row r="42" ht="19" customHeight="1">
      <c r="A42" s="23" t="n">
        <v>36</v>
      </c>
      <c r="B42" s="24" t="n"/>
      <c r="C42" s="24" t="n"/>
      <c r="D42" s="25" t="n"/>
      <c r="E42" s="26" t="n"/>
      <c r="F42" s="27" t="n"/>
      <c r="G42" s="28" t="n"/>
      <c r="H42" s="29">
        <f>IF(OR(E42="",F42="",C42="Call"),"",E42*100*F42)</f>
        <v/>
      </c>
      <c r="I42" s="30">
        <f>IF(AND(C42="Call",F42&lt;&gt;""),F42*100,"")</f>
        <v/>
      </c>
      <c r="J42" s="31" t="n"/>
      <c r="K42" s="31" t="n"/>
      <c r="L42" s="24" t="n"/>
      <c r="M42" s="31" t="n"/>
      <c r="N42" s="28" t="n"/>
      <c r="O42" s="26" t="n"/>
      <c r="P42" s="32">
        <f>IF(OR(B42="",M42=""),"",(N(G42)-N(N42))*N(F42)-N(O42))</f>
        <v/>
      </c>
      <c r="Q42" s="33">
        <f>IF(OR(P42="",E42="",F42="",J42=""),"",P42/(E42*100*F42)*365/MAX(1,M42-J42))</f>
        <v/>
      </c>
      <c r="R42" s="25" t="n"/>
      <c r="S42" s="24" t="n"/>
      <c r="T42" s="32">
        <f>IF(P42="","",IF(TRIM(S42)="",P42,IF(AND(COUNTIFS($S$7:$S$106,S42,$M$7:$M$106,"",$B$7:$B$106,"&lt;&gt;")=0,COUNTIFS($S$7:$S$106,S42,$M$7:$M$106,"&gt;"&amp;M42)=0,COUNTIFS($S$7:$S$106,S42,$M$7:$M$106,M42,$A$7:$A$106,"&gt;"&amp;A42)=0),SUMIFS($P$7:$P$106,$S$7:$S$106,S42),"")))</f>
        <v/>
      </c>
      <c r="U42" s="34">
        <f>IF(OR(TRIM(S42)="",B42="",M42&lt;&gt;""),"",N(G42)*N(F42)+SUMIFS($P$7:$P$106,$S$7:$S$106,S42))</f>
        <v/>
      </c>
    </row>
    <row r="43" ht="19" customHeight="1">
      <c r="A43" s="23" t="n">
        <v>37</v>
      </c>
      <c r="B43" s="24" t="n"/>
      <c r="C43" s="24" t="n"/>
      <c r="D43" s="25" t="n"/>
      <c r="E43" s="26" t="n"/>
      <c r="F43" s="27" t="n"/>
      <c r="G43" s="28" t="n"/>
      <c r="H43" s="29">
        <f>IF(OR(E43="",F43="",C43="Call"),"",E43*100*F43)</f>
        <v/>
      </c>
      <c r="I43" s="30">
        <f>IF(AND(C43="Call",F43&lt;&gt;""),F43*100,"")</f>
        <v/>
      </c>
      <c r="J43" s="31" t="n"/>
      <c r="K43" s="31" t="n"/>
      <c r="L43" s="24" t="n"/>
      <c r="M43" s="31" t="n"/>
      <c r="N43" s="28" t="n"/>
      <c r="O43" s="26" t="n"/>
      <c r="P43" s="32">
        <f>IF(OR(B43="",M43=""),"",(N(G43)-N(N43))*N(F43)-N(O43))</f>
        <v/>
      </c>
      <c r="Q43" s="33">
        <f>IF(OR(P43="",E43="",F43="",J43=""),"",P43/(E43*100*F43)*365/MAX(1,M43-J43))</f>
        <v/>
      </c>
      <c r="R43" s="25" t="n"/>
      <c r="S43" s="24" t="n"/>
      <c r="T43" s="32">
        <f>IF(P43="","",IF(TRIM(S43)="",P43,IF(AND(COUNTIFS($S$7:$S$106,S43,$M$7:$M$106,"",$B$7:$B$106,"&lt;&gt;")=0,COUNTIFS($S$7:$S$106,S43,$M$7:$M$106,"&gt;"&amp;M43)=0,COUNTIFS($S$7:$S$106,S43,$M$7:$M$106,M43,$A$7:$A$106,"&gt;"&amp;A43)=0),SUMIFS($P$7:$P$106,$S$7:$S$106,S43),"")))</f>
        <v/>
      </c>
      <c r="U43" s="34">
        <f>IF(OR(TRIM(S43)="",B43="",M43&lt;&gt;""),"",N(G43)*N(F43)+SUMIFS($P$7:$P$106,$S$7:$S$106,S43))</f>
        <v/>
      </c>
    </row>
    <row r="44" ht="19" customHeight="1">
      <c r="A44" s="23" t="n">
        <v>38</v>
      </c>
      <c r="B44" s="24" t="n"/>
      <c r="C44" s="24" t="n"/>
      <c r="D44" s="25" t="n"/>
      <c r="E44" s="26" t="n"/>
      <c r="F44" s="27" t="n"/>
      <c r="G44" s="28" t="n"/>
      <c r="H44" s="29">
        <f>IF(OR(E44="",F44="",C44="Call"),"",E44*100*F44)</f>
        <v/>
      </c>
      <c r="I44" s="30">
        <f>IF(AND(C44="Call",F44&lt;&gt;""),F44*100,"")</f>
        <v/>
      </c>
      <c r="J44" s="31" t="n"/>
      <c r="K44" s="31" t="n"/>
      <c r="L44" s="24" t="n"/>
      <c r="M44" s="31" t="n"/>
      <c r="N44" s="28" t="n"/>
      <c r="O44" s="26" t="n"/>
      <c r="P44" s="32">
        <f>IF(OR(B44="",M44=""),"",(N(G44)-N(N44))*N(F44)-N(O44))</f>
        <v/>
      </c>
      <c r="Q44" s="33">
        <f>IF(OR(P44="",E44="",F44="",J44=""),"",P44/(E44*100*F44)*365/MAX(1,M44-J44))</f>
        <v/>
      </c>
      <c r="R44" s="25" t="n"/>
      <c r="S44" s="24" t="n"/>
      <c r="T44" s="32">
        <f>IF(P44="","",IF(TRIM(S44)="",P44,IF(AND(COUNTIFS($S$7:$S$106,S44,$M$7:$M$106,"",$B$7:$B$106,"&lt;&gt;")=0,COUNTIFS($S$7:$S$106,S44,$M$7:$M$106,"&gt;"&amp;M44)=0,COUNTIFS($S$7:$S$106,S44,$M$7:$M$106,M44,$A$7:$A$106,"&gt;"&amp;A44)=0),SUMIFS($P$7:$P$106,$S$7:$S$106,S44),"")))</f>
        <v/>
      </c>
      <c r="U44" s="34">
        <f>IF(OR(TRIM(S44)="",B44="",M44&lt;&gt;""),"",N(G44)*N(F44)+SUMIFS($P$7:$P$106,$S$7:$S$106,S44))</f>
        <v/>
      </c>
    </row>
    <row r="45" ht="19" customHeight="1">
      <c r="A45" s="23" t="n">
        <v>39</v>
      </c>
      <c r="B45" s="24" t="n"/>
      <c r="C45" s="24" t="n"/>
      <c r="D45" s="25" t="n"/>
      <c r="E45" s="26" t="n"/>
      <c r="F45" s="27" t="n"/>
      <c r="G45" s="28" t="n"/>
      <c r="H45" s="29">
        <f>IF(OR(E45="",F45="",C45="Call"),"",E45*100*F45)</f>
        <v/>
      </c>
      <c r="I45" s="30">
        <f>IF(AND(C45="Call",F45&lt;&gt;""),F45*100,"")</f>
        <v/>
      </c>
      <c r="J45" s="31" t="n"/>
      <c r="K45" s="31" t="n"/>
      <c r="L45" s="24" t="n"/>
      <c r="M45" s="31" t="n"/>
      <c r="N45" s="28" t="n"/>
      <c r="O45" s="26" t="n"/>
      <c r="P45" s="32">
        <f>IF(OR(B45="",M45=""),"",(N(G45)-N(N45))*N(F45)-N(O45))</f>
        <v/>
      </c>
      <c r="Q45" s="33">
        <f>IF(OR(P45="",E45="",F45="",J45=""),"",P45/(E45*100*F45)*365/MAX(1,M45-J45))</f>
        <v/>
      </c>
      <c r="R45" s="25" t="n"/>
      <c r="S45" s="24" t="n"/>
      <c r="T45" s="32">
        <f>IF(P45="","",IF(TRIM(S45)="",P45,IF(AND(COUNTIFS($S$7:$S$106,S45,$M$7:$M$106,"",$B$7:$B$106,"&lt;&gt;")=0,COUNTIFS($S$7:$S$106,S45,$M$7:$M$106,"&gt;"&amp;M45)=0,COUNTIFS($S$7:$S$106,S45,$M$7:$M$106,M45,$A$7:$A$106,"&gt;"&amp;A45)=0),SUMIFS($P$7:$P$106,$S$7:$S$106,S45),"")))</f>
        <v/>
      </c>
      <c r="U45" s="34">
        <f>IF(OR(TRIM(S45)="",B45="",M45&lt;&gt;""),"",N(G45)*N(F45)+SUMIFS($P$7:$P$106,$S$7:$S$106,S45))</f>
        <v/>
      </c>
    </row>
    <row r="46" ht="19" customHeight="1">
      <c r="A46" s="23" t="n">
        <v>40</v>
      </c>
      <c r="B46" s="24" t="n"/>
      <c r="C46" s="24" t="n"/>
      <c r="D46" s="25" t="n"/>
      <c r="E46" s="26" t="n"/>
      <c r="F46" s="27" t="n"/>
      <c r="G46" s="28" t="n"/>
      <c r="H46" s="29">
        <f>IF(OR(E46="",F46="",C46="Call"),"",E46*100*F46)</f>
        <v/>
      </c>
      <c r="I46" s="30">
        <f>IF(AND(C46="Call",F46&lt;&gt;""),F46*100,"")</f>
        <v/>
      </c>
      <c r="J46" s="31" t="n"/>
      <c r="K46" s="31" t="n"/>
      <c r="L46" s="24" t="n"/>
      <c r="M46" s="31" t="n"/>
      <c r="N46" s="28" t="n"/>
      <c r="O46" s="26" t="n"/>
      <c r="P46" s="32">
        <f>IF(OR(B46="",M46=""),"",(N(G46)-N(N46))*N(F46)-N(O46))</f>
        <v/>
      </c>
      <c r="Q46" s="33">
        <f>IF(OR(P46="",E46="",F46="",J46=""),"",P46/(E46*100*F46)*365/MAX(1,M46-J46))</f>
        <v/>
      </c>
      <c r="R46" s="25" t="n"/>
      <c r="S46" s="24" t="n"/>
      <c r="T46" s="32">
        <f>IF(P46="","",IF(TRIM(S46)="",P46,IF(AND(COUNTIFS($S$7:$S$106,S46,$M$7:$M$106,"",$B$7:$B$106,"&lt;&gt;")=0,COUNTIFS($S$7:$S$106,S46,$M$7:$M$106,"&gt;"&amp;M46)=0,COUNTIFS($S$7:$S$106,S46,$M$7:$M$106,M46,$A$7:$A$106,"&gt;"&amp;A46)=0),SUMIFS($P$7:$P$106,$S$7:$S$106,S46),"")))</f>
        <v/>
      </c>
      <c r="U46" s="34">
        <f>IF(OR(TRIM(S46)="",B46="",M46&lt;&gt;""),"",N(G46)*N(F46)+SUMIFS($P$7:$P$106,$S$7:$S$106,S46))</f>
        <v/>
      </c>
    </row>
    <row r="47" ht="19" customHeight="1">
      <c r="A47" s="23" t="n">
        <v>41</v>
      </c>
      <c r="B47" s="24" t="n"/>
      <c r="C47" s="24" t="n"/>
      <c r="D47" s="25" t="n"/>
      <c r="E47" s="26" t="n"/>
      <c r="F47" s="27" t="n"/>
      <c r="G47" s="28" t="n"/>
      <c r="H47" s="29">
        <f>IF(OR(E47="",F47="",C47="Call"),"",E47*100*F47)</f>
        <v/>
      </c>
      <c r="I47" s="30">
        <f>IF(AND(C47="Call",F47&lt;&gt;""),F47*100,"")</f>
        <v/>
      </c>
      <c r="J47" s="31" t="n"/>
      <c r="K47" s="31" t="n"/>
      <c r="L47" s="24" t="n"/>
      <c r="M47" s="31" t="n"/>
      <c r="N47" s="28" t="n"/>
      <c r="O47" s="26" t="n"/>
      <c r="P47" s="32">
        <f>IF(OR(B47="",M47=""),"",(N(G47)-N(N47))*N(F47)-N(O47))</f>
        <v/>
      </c>
      <c r="Q47" s="33">
        <f>IF(OR(P47="",E47="",F47="",J47=""),"",P47/(E47*100*F47)*365/MAX(1,M47-J47))</f>
        <v/>
      </c>
      <c r="R47" s="25" t="n"/>
      <c r="S47" s="24" t="n"/>
      <c r="T47" s="32">
        <f>IF(P47="","",IF(TRIM(S47)="",P47,IF(AND(COUNTIFS($S$7:$S$106,S47,$M$7:$M$106,"",$B$7:$B$106,"&lt;&gt;")=0,COUNTIFS($S$7:$S$106,S47,$M$7:$M$106,"&gt;"&amp;M47)=0,COUNTIFS($S$7:$S$106,S47,$M$7:$M$106,M47,$A$7:$A$106,"&gt;"&amp;A47)=0),SUMIFS($P$7:$P$106,$S$7:$S$106,S47),"")))</f>
        <v/>
      </c>
      <c r="U47" s="34">
        <f>IF(OR(TRIM(S47)="",B47="",M47&lt;&gt;""),"",N(G47)*N(F47)+SUMIFS($P$7:$P$106,$S$7:$S$106,S47))</f>
        <v/>
      </c>
    </row>
    <row r="48" ht="19" customHeight="1">
      <c r="A48" s="23" t="n">
        <v>42</v>
      </c>
      <c r="B48" s="24" t="n"/>
      <c r="C48" s="24" t="n"/>
      <c r="D48" s="25" t="n"/>
      <c r="E48" s="26" t="n"/>
      <c r="F48" s="27" t="n"/>
      <c r="G48" s="28" t="n"/>
      <c r="H48" s="29">
        <f>IF(OR(E48="",F48="",C48="Call"),"",E48*100*F48)</f>
        <v/>
      </c>
      <c r="I48" s="30">
        <f>IF(AND(C48="Call",F48&lt;&gt;""),F48*100,"")</f>
        <v/>
      </c>
      <c r="J48" s="31" t="n"/>
      <c r="K48" s="31" t="n"/>
      <c r="L48" s="24" t="n"/>
      <c r="M48" s="31" t="n"/>
      <c r="N48" s="28" t="n"/>
      <c r="O48" s="26" t="n"/>
      <c r="P48" s="32">
        <f>IF(OR(B48="",M48=""),"",(N(G48)-N(N48))*N(F48)-N(O48))</f>
        <v/>
      </c>
      <c r="Q48" s="33">
        <f>IF(OR(P48="",E48="",F48="",J48=""),"",P48/(E48*100*F48)*365/MAX(1,M48-J48))</f>
        <v/>
      </c>
      <c r="R48" s="25" t="n"/>
      <c r="S48" s="24" t="n"/>
      <c r="T48" s="32">
        <f>IF(P48="","",IF(TRIM(S48)="",P48,IF(AND(COUNTIFS($S$7:$S$106,S48,$M$7:$M$106,"",$B$7:$B$106,"&lt;&gt;")=0,COUNTIFS($S$7:$S$106,S48,$M$7:$M$106,"&gt;"&amp;M48)=0,COUNTIFS($S$7:$S$106,S48,$M$7:$M$106,M48,$A$7:$A$106,"&gt;"&amp;A48)=0),SUMIFS($P$7:$P$106,$S$7:$S$106,S48),"")))</f>
        <v/>
      </c>
      <c r="U48" s="34">
        <f>IF(OR(TRIM(S48)="",B48="",M48&lt;&gt;""),"",N(G48)*N(F48)+SUMIFS($P$7:$P$106,$S$7:$S$106,S48))</f>
        <v/>
      </c>
    </row>
    <row r="49" ht="19" customHeight="1">
      <c r="A49" s="23" t="n">
        <v>43</v>
      </c>
      <c r="B49" s="24" t="n"/>
      <c r="C49" s="24" t="n"/>
      <c r="D49" s="25" t="n"/>
      <c r="E49" s="26" t="n"/>
      <c r="F49" s="27" t="n"/>
      <c r="G49" s="28" t="n"/>
      <c r="H49" s="29">
        <f>IF(OR(E49="",F49="",C49="Call"),"",E49*100*F49)</f>
        <v/>
      </c>
      <c r="I49" s="30">
        <f>IF(AND(C49="Call",F49&lt;&gt;""),F49*100,"")</f>
        <v/>
      </c>
      <c r="J49" s="31" t="n"/>
      <c r="K49" s="31" t="n"/>
      <c r="L49" s="24" t="n"/>
      <c r="M49" s="31" t="n"/>
      <c r="N49" s="28" t="n"/>
      <c r="O49" s="26" t="n"/>
      <c r="P49" s="32">
        <f>IF(OR(B49="",M49=""),"",(N(G49)-N(N49))*N(F49)-N(O49))</f>
        <v/>
      </c>
      <c r="Q49" s="33">
        <f>IF(OR(P49="",E49="",F49="",J49=""),"",P49/(E49*100*F49)*365/MAX(1,M49-J49))</f>
        <v/>
      </c>
      <c r="R49" s="25" t="n"/>
      <c r="S49" s="24" t="n"/>
      <c r="T49" s="32">
        <f>IF(P49="","",IF(TRIM(S49)="",P49,IF(AND(COUNTIFS($S$7:$S$106,S49,$M$7:$M$106,"",$B$7:$B$106,"&lt;&gt;")=0,COUNTIFS($S$7:$S$106,S49,$M$7:$M$106,"&gt;"&amp;M49)=0,COUNTIFS($S$7:$S$106,S49,$M$7:$M$106,M49,$A$7:$A$106,"&gt;"&amp;A49)=0),SUMIFS($P$7:$P$106,$S$7:$S$106,S49),"")))</f>
        <v/>
      </c>
      <c r="U49" s="34">
        <f>IF(OR(TRIM(S49)="",B49="",M49&lt;&gt;""),"",N(G49)*N(F49)+SUMIFS($P$7:$P$106,$S$7:$S$106,S49))</f>
        <v/>
      </c>
    </row>
    <row r="50" ht="19" customHeight="1">
      <c r="A50" s="23" t="n">
        <v>44</v>
      </c>
      <c r="B50" s="24" t="n"/>
      <c r="C50" s="24" t="n"/>
      <c r="D50" s="25" t="n"/>
      <c r="E50" s="26" t="n"/>
      <c r="F50" s="27" t="n"/>
      <c r="G50" s="28" t="n"/>
      <c r="H50" s="29">
        <f>IF(OR(E50="",F50="",C50="Call"),"",E50*100*F50)</f>
        <v/>
      </c>
      <c r="I50" s="30">
        <f>IF(AND(C50="Call",F50&lt;&gt;""),F50*100,"")</f>
        <v/>
      </c>
      <c r="J50" s="31" t="n"/>
      <c r="K50" s="31" t="n"/>
      <c r="L50" s="24" t="n"/>
      <c r="M50" s="31" t="n"/>
      <c r="N50" s="28" t="n"/>
      <c r="O50" s="26" t="n"/>
      <c r="P50" s="32">
        <f>IF(OR(B50="",M50=""),"",(N(G50)-N(N50))*N(F50)-N(O50))</f>
        <v/>
      </c>
      <c r="Q50" s="33">
        <f>IF(OR(P50="",E50="",F50="",J50=""),"",P50/(E50*100*F50)*365/MAX(1,M50-J50))</f>
        <v/>
      </c>
      <c r="R50" s="25" t="n"/>
      <c r="S50" s="24" t="n"/>
      <c r="T50" s="32">
        <f>IF(P50="","",IF(TRIM(S50)="",P50,IF(AND(COUNTIFS($S$7:$S$106,S50,$M$7:$M$106,"",$B$7:$B$106,"&lt;&gt;")=0,COUNTIFS($S$7:$S$106,S50,$M$7:$M$106,"&gt;"&amp;M50)=0,COUNTIFS($S$7:$S$106,S50,$M$7:$M$106,M50,$A$7:$A$106,"&gt;"&amp;A50)=0),SUMIFS($P$7:$P$106,$S$7:$S$106,S50),"")))</f>
        <v/>
      </c>
      <c r="U50" s="34">
        <f>IF(OR(TRIM(S50)="",B50="",M50&lt;&gt;""),"",N(G50)*N(F50)+SUMIFS($P$7:$P$106,$S$7:$S$106,S50))</f>
        <v/>
      </c>
    </row>
    <row r="51" ht="19" customHeight="1">
      <c r="A51" s="23" t="n">
        <v>45</v>
      </c>
      <c r="B51" s="24" t="n"/>
      <c r="C51" s="24" t="n"/>
      <c r="D51" s="25" t="n"/>
      <c r="E51" s="26" t="n"/>
      <c r="F51" s="27" t="n"/>
      <c r="G51" s="28" t="n"/>
      <c r="H51" s="29">
        <f>IF(OR(E51="",F51="",C51="Call"),"",E51*100*F51)</f>
        <v/>
      </c>
      <c r="I51" s="30">
        <f>IF(AND(C51="Call",F51&lt;&gt;""),F51*100,"")</f>
        <v/>
      </c>
      <c r="J51" s="31" t="n"/>
      <c r="K51" s="31" t="n"/>
      <c r="L51" s="24" t="n"/>
      <c r="M51" s="31" t="n"/>
      <c r="N51" s="28" t="n"/>
      <c r="O51" s="26" t="n"/>
      <c r="P51" s="32">
        <f>IF(OR(B51="",M51=""),"",(N(G51)-N(N51))*N(F51)-N(O51))</f>
        <v/>
      </c>
      <c r="Q51" s="33">
        <f>IF(OR(P51="",E51="",F51="",J51=""),"",P51/(E51*100*F51)*365/MAX(1,M51-J51))</f>
        <v/>
      </c>
      <c r="R51" s="25" t="n"/>
      <c r="S51" s="24" t="n"/>
      <c r="T51" s="32">
        <f>IF(P51="","",IF(TRIM(S51)="",P51,IF(AND(COUNTIFS($S$7:$S$106,S51,$M$7:$M$106,"",$B$7:$B$106,"&lt;&gt;")=0,COUNTIFS($S$7:$S$106,S51,$M$7:$M$106,"&gt;"&amp;M51)=0,COUNTIFS($S$7:$S$106,S51,$M$7:$M$106,M51,$A$7:$A$106,"&gt;"&amp;A51)=0),SUMIFS($P$7:$P$106,$S$7:$S$106,S51),"")))</f>
        <v/>
      </c>
      <c r="U51" s="34">
        <f>IF(OR(TRIM(S51)="",B51="",M51&lt;&gt;""),"",N(G51)*N(F51)+SUMIFS($P$7:$P$106,$S$7:$S$106,S51))</f>
        <v/>
      </c>
    </row>
    <row r="52" ht="19" customHeight="1">
      <c r="A52" s="23" t="n">
        <v>46</v>
      </c>
      <c r="B52" s="24" t="n"/>
      <c r="C52" s="24" t="n"/>
      <c r="D52" s="25" t="n"/>
      <c r="E52" s="26" t="n"/>
      <c r="F52" s="27" t="n"/>
      <c r="G52" s="28" t="n"/>
      <c r="H52" s="29">
        <f>IF(OR(E52="",F52="",C52="Call"),"",E52*100*F52)</f>
        <v/>
      </c>
      <c r="I52" s="30">
        <f>IF(AND(C52="Call",F52&lt;&gt;""),F52*100,"")</f>
        <v/>
      </c>
      <c r="J52" s="31" t="n"/>
      <c r="K52" s="31" t="n"/>
      <c r="L52" s="24" t="n"/>
      <c r="M52" s="31" t="n"/>
      <c r="N52" s="28" t="n"/>
      <c r="O52" s="26" t="n"/>
      <c r="P52" s="32">
        <f>IF(OR(B52="",M52=""),"",(N(G52)-N(N52))*N(F52)-N(O52))</f>
        <v/>
      </c>
      <c r="Q52" s="33">
        <f>IF(OR(P52="",E52="",F52="",J52=""),"",P52/(E52*100*F52)*365/MAX(1,M52-J52))</f>
        <v/>
      </c>
      <c r="R52" s="25" t="n"/>
      <c r="S52" s="24" t="n"/>
      <c r="T52" s="32">
        <f>IF(P52="","",IF(TRIM(S52)="",P52,IF(AND(COUNTIFS($S$7:$S$106,S52,$M$7:$M$106,"",$B$7:$B$106,"&lt;&gt;")=0,COUNTIFS($S$7:$S$106,S52,$M$7:$M$106,"&gt;"&amp;M52)=0,COUNTIFS($S$7:$S$106,S52,$M$7:$M$106,M52,$A$7:$A$106,"&gt;"&amp;A52)=0),SUMIFS($P$7:$P$106,$S$7:$S$106,S52),"")))</f>
        <v/>
      </c>
      <c r="U52" s="34">
        <f>IF(OR(TRIM(S52)="",B52="",M52&lt;&gt;""),"",N(G52)*N(F52)+SUMIFS($P$7:$P$106,$S$7:$S$106,S52))</f>
        <v/>
      </c>
    </row>
    <row r="53" ht="19" customHeight="1">
      <c r="A53" s="23" t="n">
        <v>47</v>
      </c>
      <c r="B53" s="24" t="n"/>
      <c r="C53" s="24" t="n"/>
      <c r="D53" s="25" t="n"/>
      <c r="E53" s="26" t="n"/>
      <c r="F53" s="27" t="n"/>
      <c r="G53" s="28" t="n"/>
      <c r="H53" s="29">
        <f>IF(OR(E53="",F53="",C53="Call"),"",E53*100*F53)</f>
        <v/>
      </c>
      <c r="I53" s="30">
        <f>IF(AND(C53="Call",F53&lt;&gt;""),F53*100,"")</f>
        <v/>
      </c>
      <c r="J53" s="31" t="n"/>
      <c r="K53" s="31" t="n"/>
      <c r="L53" s="24" t="n"/>
      <c r="M53" s="31" t="n"/>
      <c r="N53" s="28" t="n"/>
      <c r="O53" s="26" t="n"/>
      <c r="P53" s="32">
        <f>IF(OR(B53="",M53=""),"",(N(G53)-N(N53))*N(F53)-N(O53))</f>
        <v/>
      </c>
      <c r="Q53" s="33">
        <f>IF(OR(P53="",E53="",F53="",J53=""),"",P53/(E53*100*F53)*365/MAX(1,M53-J53))</f>
        <v/>
      </c>
      <c r="R53" s="25" t="n"/>
      <c r="S53" s="24" t="n"/>
      <c r="T53" s="32">
        <f>IF(P53="","",IF(TRIM(S53)="",P53,IF(AND(COUNTIFS($S$7:$S$106,S53,$M$7:$M$106,"",$B$7:$B$106,"&lt;&gt;")=0,COUNTIFS($S$7:$S$106,S53,$M$7:$M$106,"&gt;"&amp;M53)=0,COUNTIFS($S$7:$S$106,S53,$M$7:$M$106,M53,$A$7:$A$106,"&gt;"&amp;A53)=0),SUMIFS($P$7:$P$106,$S$7:$S$106,S53),"")))</f>
        <v/>
      </c>
      <c r="U53" s="34">
        <f>IF(OR(TRIM(S53)="",B53="",M53&lt;&gt;""),"",N(G53)*N(F53)+SUMIFS($P$7:$P$106,$S$7:$S$106,S53))</f>
        <v/>
      </c>
    </row>
    <row r="54" ht="19" customHeight="1">
      <c r="A54" s="23" t="n">
        <v>48</v>
      </c>
      <c r="B54" s="24" t="n"/>
      <c r="C54" s="24" t="n"/>
      <c r="D54" s="25" t="n"/>
      <c r="E54" s="26" t="n"/>
      <c r="F54" s="27" t="n"/>
      <c r="G54" s="28" t="n"/>
      <c r="H54" s="29">
        <f>IF(OR(E54="",F54="",C54="Call"),"",E54*100*F54)</f>
        <v/>
      </c>
      <c r="I54" s="30">
        <f>IF(AND(C54="Call",F54&lt;&gt;""),F54*100,"")</f>
        <v/>
      </c>
      <c r="J54" s="31" t="n"/>
      <c r="K54" s="31" t="n"/>
      <c r="L54" s="24" t="n"/>
      <c r="M54" s="31" t="n"/>
      <c r="N54" s="28" t="n"/>
      <c r="O54" s="26" t="n"/>
      <c r="P54" s="32">
        <f>IF(OR(B54="",M54=""),"",(N(G54)-N(N54))*N(F54)-N(O54))</f>
        <v/>
      </c>
      <c r="Q54" s="33">
        <f>IF(OR(P54="",E54="",F54="",J54=""),"",P54/(E54*100*F54)*365/MAX(1,M54-J54))</f>
        <v/>
      </c>
      <c r="R54" s="25" t="n"/>
      <c r="S54" s="24" t="n"/>
      <c r="T54" s="32">
        <f>IF(P54="","",IF(TRIM(S54)="",P54,IF(AND(COUNTIFS($S$7:$S$106,S54,$M$7:$M$106,"",$B$7:$B$106,"&lt;&gt;")=0,COUNTIFS($S$7:$S$106,S54,$M$7:$M$106,"&gt;"&amp;M54)=0,COUNTIFS($S$7:$S$106,S54,$M$7:$M$106,M54,$A$7:$A$106,"&gt;"&amp;A54)=0),SUMIFS($P$7:$P$106,$S$7:$S$106,S54),"")))</f>
        <v/>
      </c>
      <c r="U54" s="34">
        <f>IF(OR(TRIM(S54)="",B54="",M54&lt;&gt;""),"",N(G54)*N(F54)+SUMIFS($P$7:$P$106,$S$7:$S$106,S54))</f>
        <v/>
      </c>
    </row>
    <row r="55" ht="19" customHeight="1">
      <c r="A55" s="23" t="n">
        <v>49</v>
      </c>
      <c r="B55" s="24" t="n"/>
      <c r="C55" s="24" t="n"/>
      <c r="D55" s="25" t="n"/>
      <c r="E55" s="26" t="n"/>
      <c r="F55" s="27" t="n"/>
      <c r="G55" s="28" t="n"/>
      <c r="H55" s="29">
        <f>IF(OR(E55="",F55="",C55="Call"),"",E55*100*F55)</f>
        <v/>
      </c>
      <c r="I55" s="30">
        <f>IF(AND(C55="Call",F55&lt;&gt;""),F55*100,"")</f>
        <v/>
      </c>
      <c r="J55" s="31" t="n"/>
      <c r="K55" s="31" t="n"/>
      <c r="L55" s="24" t="n"/>
      <c r="M55" s="31" t="n"/>
      <c r="N55" s="28" t="n"/>
      <c r="O55" s="26" t="n"/>
      <c r="P55" s="32">
        <f>IF(OR(B55="",M55=""),"",(N(G55)-N(N55))*N(F55)-N(O55))</f>
        <v/>
      </c>
      <c r="Q55" s="33">
        <f>IF(OR(P55="",E55="",F55="",J55=""),"",P55/(E55*100*F55)*365/MAX(1,M55-J55))</f>
        <v/>
      </c>
      <c r="R55" s="25" t="n"/>
      <c r="S55" s="24" t="n"/>
      <c r="T55" s="32">
        <f>IF(P55="","",IF(TRIM(S55)="",P55,IF(AND(COUNTIFS($S$7:$S$106,S55,$M$7:$M$106,"",$B$7:$B$106,"&lt;&gt;")=0,COUNTIFS($S$7:$S$106,S55,$M$7:$M$106,"&gt;"&amp;M55)=0,COUNTIFS($S$7:$S$106,S55,$M$7:$M$106,M55,$A$7:$A$106,"&gt;"&amp;A55)=0),SUMIFS($P$7:$P$106,$S$7:$S$106,S55),"")))</f>
        <v/>
      </c>
      <c r="U55" s="34">
        <f>IF(OR(TRIM(S55)="",B55="",M55&lt;&gt;""),"",N(G55)*N(F55)+SUMIFS($P$7:$P$106,$S$7:$S$106,S55))</f>
        <v/>
      </c>
    </row>
    <row r="56" ht="19" customHeight="1">
      <c r="A56" s="23" t="n">
        <v>50</v>
      </c>
      <c r="B56" s="24" t="n"/>
      <c r="C56" s="24" t="n"/>
      <c r="D56" s="25" t="n"/>
      <c r="E56" s="26" t="n"/>
      <c r="F56" s="27" t="n"/>
      <c r="G56" s="28" t="n"/>
      <c r="H56" s="29">
        <f>IF(OR(E56="",F56="",C56="Call"),"",E56*100*F56)</f>
        <v/>
      </c>
      <c r="I56" s="30">
        <f>IF(AND(C56="Call",F56&lt;&gt;""),F56*100,"")</f>
        <v/>
      </c>
      <c r="J56" s="31" t="n"/>
      <c r="K56" s="31" t="n"/>
      <c r="L56" s="24" t="n"/>
      <c r="M56" s="31" t="n"/>
      <c r="N56" s="28" t="n"/>
      <c r="O56" s="26" t="n"/>
      <c r="P56" s="32">
        <f>IF(OR(B56="",M56=""),"",(N(G56)-N(N56))*N(F56)-N(O56))</f>
        <v/>
      </c>
      <c r="Q56" s="33">
        <f>IF(OR(P56="",E56="",F56="",J56=""),"",P56/(E56*100*F56)*365/MAX(1,M56-J56))</f>
        <v/>
      </c>
      <c r="R56" s="25" t="n"/>
      <c r="S56" s="24" t="n"/>
      <c r="T56" s="32">
        <f>IF(P56="","",IF(TRIM(S56)="",P56,IF(AND(COUNTIFS($S$7:$S$106,S56,$M$7:$M$106,"",$B$7:$B$106,"&lt;&gt;")=0,COUNTIFS($S$7:$S$106,S56,$M$7:$M$106,"&gt;"&amp;M56)=0,COUNTIFS($S$7:$S$106,S56,$M$7:$M$106,M56,$A$7:$A$106,"&gt;"&amp;A56)=0),SUMIFS($P$7:$P$106,$S$7:$S$106,S56),"")))</f>
        <v/>
      </c>
      <c r="U56" s="34">
        <f>IF(OR(TRIM(S56)="",B56="",M56&lt;&gt;""),"",N(G56)*N(F56)+SUMIFS($P$7:$P$106,$S$7:$S$106,S56))</f>
        <v/>
      </c>
    </row>
    <row r="57" ht="19" customHeight="1">
      <c r="A57" s="23" t="n">
        <v>51</v>
      </c>
      <c r="B57" s="24" t="n"/>
      <c r="C57" s="24" t="n"/>
      <c r="D57" s="25" t="n"/>
      <c r="E57" s="26" t="n"/>
      <c r="F57" s="27" t="n"/>
      <c r="G57" s="28" t="n"/>
      <c r="H57" s="29">
        <f>IF(OR(E57="",F57="",C57="Call"),"",E57*100*F57)</f>
        <v/>
      </c>
      <c r="I57" s="30">
        <f>IF(AND(C57="Call",F57&lt;&gt;""),F57*100,"")</f>
        <v/>
      </c>
      <c r="J57" s="31" t="n"/>
      <c r="K57" s="31" t="n"/>
      <c r="L57" s="24" t="n"/>
      <c r="M57" s="31" t="n"/>
      <c r="N57" s="28" t="n"/>
      <c r="O57" s="26" t="n"/>
      <c r="P57" s="32">
        <f>IF(OR(B57="",M57=""),"",(N(G57)-N(N57))*N(F57)-N(O57))</f>
        <v/>
      </c>
      <c r="Q57" s="33">
        <f>IF(OR(P57="",E57="",F57="",J57=""),"",P57/(E57*100*F57)*365/MAX(1,M57-J57))</f>
        <v/>
      </c>
      <c r="R57" s="25" t="n"/>
      <c r="S57" s="24" t="n"/>
      <c r="T57" s="32">
        <f>IF(P57="","",IF(TRIM(S57)="",P57,IF(AND(COUNTIFS($S$7:$S$106,S57,$M$7:$M$106,"",$B$7:$B$106,"&lt;&gt;")=0,COUNTIFS($S$7:$S$106,S57,$M$7:$M$106,"&gt;"&amp;M57)=0,COUNTIFS($S$7:$S$106,S57,$M$7:$M$106,M57,$A$7:$A$106,"&gt;"&amp;A57)=0),SUMIFS($P$7:$P$106,$S$7:$S$106,S57),"")))</f>
        <v/>
      </c>
      <c r="U57" s="34">
        <f>IF(OR(TRIM(S57)="",B57="",M57&lt;&gt;""),"",N(G57)*N(F57)+SUMIFS($P$7:$P$106,$S$7:$S$106,S57))</f>
        <v/>
      </c>
    </row>
    <row r="58" ht="19" customHeight="1">
      <c r="A58" s="23" t="n">
        <v>52</v>
      </c>
      <c r="B58" s="24" t="n"/>
      <c r="C58" s="24" t="n"/>
      <c r="D58" s="25" t="n"/>
      <c r="E58" s="26" t="n"/>
      <c r="F58" s="27" t="n"/>
      <c r="G58" s="28" t="n"/>
      <c r="H58" s="29">
        <f>IF(OR(E58="",F58="",C58="Call"),"",E58*100*F58)</f>
        <v/>
      </c>
      <c r="I58" s="30">
        <f>IF(AND(C58="Call",F58&lt;&gt;""),F58*100,"")</f>
        <v/>
      </c>
      <c r="J58" s="31" t="n"/>
      <c r="K58" s="31" t="n"/>
      <c r="L58" s="24" t="n"/>
      <c r="M58" s="31" t="n"/>
      <c r="N58" s="28" t="n"/>
      <c r="O58" s="26" t="n"/>
      <c r="P58" s="32">
        <f>IF(OR(B58="",M58=""),"",(N(G58)-N(N58))*N(F58)-N(O58))</f>
        <v/>
      </c>
      <c r="Q58" s="33">
        <f>IF(OR(P58="",E58="",F58="",J58=""),"",P58/(E58*100*F58)*365/MAX(1,M58-J58))</f>
        <v/>
      </c>
      <c r="R58" s="25" t="n"/>
      <c r="S58" s="24" t="n"/>
      <c r="T58" s="32">
        <f>IF(P58="","",IF(TRIM(S58)="",P58,IF(AND(COUNTIFS($S$7:$S$106,S58,$M$7:$M$106,"",$B$7:$B$106,"&lt;&gt;")=0,COUNTIFS($S$7:$S$106,S58,$M$7:$M$106,"&gt;"&amp;M58)=0,COUNTIFS($S$7:$S$106,S58,$M$7:$M$106,M58,$A$7:$A$106,"&gt;"&amp;A58)=0),SUMIFS($P$7:$P$106,$S$7:$S$106,S58),"")))</f>
        <v/>
      </c>
      <c r="U58" s="34">
        <f>IF(OR(TRIM(S58)="",B58="",M58&lt;&gt;""),"",N(G58)*N(F58)+SUMIFS($P$7:$P$106,$S$7:$S$106,S58))</f>
        <v/>
      </c>
    </row>
    <row r="59" ht="19" customHeight="1">
      <c r="A59" s="23" t="n">
        <v>53</v>
      </c>
      <c r="B59" s="24" t="n"/>
      <c r="C59" s="24" t="n"/>
      <c r="D59" s="25" t="n"/>
      <c r="E59" s="26" t="n"/>
      <c r="F59" s="27" t="n"/>
      <c r="G59" s="28" t="n"/>
      <c r="H59" s="29">
        <f>IF(OR(E59="",F59="",C59="Call"),"",E59*100*F59)</f>
        <v/>
      </c>
      <c r="I59" s="30">
        <f>IF(AND(C59="Call",F59&lt;&gt;""),F59*100,"")</f>
        <v/>
      </c>
      <c r="J59" s="31" t="n"/>
      <c r="K59" s="31" t="n"/>
      <c r="L59" s="24" t="n"/>
      <c r="M59" s="31" t="n"/>
      <c r="N59" s="28" t="n"/>
      <c r="O59" s="26" t="n"/>
      <c r="P59" s="32">
        <f>IF(OR(B59="",M59=""),"",(N(G59)-N(N59))*N(F59)-N(O59))</f>
        <v/>
      </c>
      <c r="Q59" s="33">
        <f>IF(OR(P59="",E59="",F59="",J59=""),"",P59/(E59*100*F59)*365/MAX(1,M59-J59))</f>
        <v/>
      </c>
      <c r="R59" s="25" t="n"/>
      <c r="S59" s="24" t="n"/>
      <c r="T59" s="32">
        <f>IF(P59="","",IF(TRIM(S59)="",P59,IF(AND(COUNTIFS($S$7:$S$106,S59,$M$7:$M$106,"",$B$7:$B$106,"&lt;&gt;")=0,COUNTIFS($S$7:$S$106,S59,$M$7:$M$106,"&gt;"&amp;M59)=0,COUNTIFS($S$7:$S$106,S59,$M$7:$M$106,M59,$A$7:$A$106,"&gt;"&amp;A59)=0),SUMIFS($P$7:$P$106,$S$7:$S$106,S59),"")))</f>
        <v/>
      </c>
      <c r="U59" s="34">
        <f>IF(OR(TRIM(S59)="",B59="",M59&lt;&gt;""),"",N(G59)*N(F59)+SUMIFS($P$7:$P$106,$S$7:$S$106,S59))</f>
        <v/>
      </c>
    </row>
    <row r="60" ht="19" customHeight="1">
      <c r="A60" s="23" t="n">
        <v>54</v>
      </c>
      <c r="B60" s="24" t="n"/>
      <c r="C60" s="24" t="n"/>
      <c r="D60" s="25" t="n"/>
      <c r="E60" s="26" t="n"/>
      <c r="F60" s="27" t="n"/>
      <c r="G60" s="28" t="n"/>
      <c r="H60" s="29">
        <f>IF(OR(E60="",F60="",C60="Call"),"",E60*100*F60)</f>
        <v/>
      </c>
      <c r="I60" s="30">
        <f>IF(AND(C60="Call",F60&lt;&gt;""),F60*100,"")</f>
        <v/>
      </c>
      <c r="J60" s="31" t="n"/>
      <c r="K60" s="31" t="n"/>
      <c r="L60" s="24" t="n"/>
      <c r="M60" s="31" t="n"/>
      <c r="N60" s="28" t="n"/>
      <c r="O60" s="26" t="n"/>
      <c r="P60" s="32">
        <f>IF(OR(B60="",M60=""),"",(N(G60)-N(N60))*N(F60)-N(O60))</f>
        <v/>
      </c>
      <c r="Q60" s="33">
        <f>IF(OR(P60="",E60="",F60="",J60=""),"",P60/(E60*100*F60)*365/MAX(1,M60-J60))</f>
        <v/>
      </c>
      <c r="R60" s="25" t="n"/>
      <c r="S60" s="24" t="n"/>
      <c r="T60" s="32">
        <f>IF(P60="","",IF(TRIM(S60)="",P60,IF(AND(COUNTIFS($S$7:$S$106,S60,$M$7:$M$106,"",$B$7:$B$106,"&lt;&gt;")=0,COUNTIFS($S$7:$S$106,S60,$M$7:$M$106,"&gt;"&amp;M60)=0,COUNTIFS($S$7:$S$106,S60,$M$7:$M$106,M60,$A$7:$A$106,"&gt;"&amp;A60)=0),SUMIFS($P$7:$P$106,$S$7:$S$106,S60),"")))</f>
        <v/>
      </c>
      <c r="U60" s="34">
        <f>IF(OR(TRIM(S60)="",B60="",M60&lt;&gt;""),"",N(G60)*N(F60)+SUMIFS($P$7:$P$106,$S$7:$S$106,S60))</f>
        <v/>
      </c>
    </row>
    <row r="61" ht="19" customHeight="1">
      <c r="A61" s="23" t="n">
        <v>55</v>
      </c>
      <c r="B61" s="24" t="n"/>
      <c r="C61" s="24" t="n"/>
      <c r="D61" s="25" t="n"/>
      <c r="E61" s="26" t="n"/>
      <c r="F61" s="27" t="n"/>
      <c r="G61" s="28" t="n"/>
      <c r="H61" s="29">
        <f>IF(OR(E61="",F61="",C61="Call"),"",E61*100*F61)</f>
        <v/>
      </c>
      <c r="I61" s="30">
        <f>IF(AND(C61="Call",F61&lt;&gt;""),F61*100,"")</f>
        <v/>
      </c>
      <c r="J61" s="31" t="n"/>
      <c r="K61" s="31" t="n"/>
      <c r="L61" s="24" t="n"/>
      <c r="M61" s="31" t="n"/>
      <c r="N61" s="28" t="n"/>
      <c r="O61" s="26" t="n"/>
      <c r="P61" s="32">
        <f>IF(OR(B61="",M61=""),"",(N(G61)-N(N61))*N(F61)-N(O61))</f>
        <v/>
      </c>
      <c r="Q61" s="33">
        <f>IF(OR(P61="",E61="",F61="",J61=""),"",P61/(E61*100*F61)*365/MAX(1,M61-J61))</f>
        <v/>
      </c>
      <c r="R61" s="25" t="n"/>
      <c r="S61" s="24" t="n"/>
      <c r="T61" s="32">
        <f>IF(P61="","",IF(TRIM(S61)="",P61,IF(AND(COUNTIFS($S$7:$S$106,S61,$M$7:$M$106,"",$B$7:$B$106,"&lt;&gt;")=0,COUNTIFS($S$7:$S$106,S61,$M$7:$M$106,"&gt;"&amp;M61)=0,COUNTIFS($S$7:$S$106,S61,$M$7:$M$106,M61,$A$7:$A$106,"&gt;"&amp;A61)=0),SUMIFS($P$7:$P$106,$S$7:$S$106,S61),"")))</f>
        <v/>
      </c>
      <c r="U61" s="34">
        <f>IF(OR(TRIM(S61)="",B61="",M61&lt;&gt;""),"",N(G61)*N(F61)+SUMIFS($P$7:$P$106,$S$7:$S$106,S61))</f>
        <v/>
      </c>
    </row>
    <row r="62" ht="19" customHeight="1">
      <c r="A62" s="23" t="n">
        <v>56</v>
      </c>
      <c r="B62" s="24" t="n"/>
      <c r="C62" s="24" t="n"/>
      <c r="D62" s="25" t="n"/>
      <c r="E62" s="26" t="n"/>
      <c r="F62" s="27" t="n"/>
      <c r="G62" s="28" t="n"/>
      <c r="H62" s="29">
        <f>IF(OR(E62="",F62="",C62="Call"),"",E62*100*F62)</f>
        <v/>
      </c>
      <c r="I62" s="30">
        <f>IF(AND(C62="Call",F62&lt;&gt;""),F62*100,"")</f>
        <v/>
      </c>
      <c r="J62" s="31" t="n"/>
      <c r="K62" s="31" t="n"/>
      <c r="L62" s="24" t="n"/>
      <c r="M62" s="31" t="n"/>
      <c r="N62" s="28" t="n"/>
      <c r="O62" s="26" t="n"/>
      <c r="P62" s="32">
        <f>IF(OR(B62="",M62=""),"",(N(G62)-N(N62))*N(F62)-N(O62))</f>
        <v/>
      </c>
      <c r="Q62" s="33">
        <f>IF(OR(P62="",E62="",F62="",J62=""),"",P62/(E62*100*F62)*365/MAX(1,M62-J62))</f>
        <v/>
      </c>
      <c r="R62" s="25" t="n"/>
      <c r="S62" s="24" t="n"/>
      <c r="T62" s="32">
        <f>IF(P62="","",IF(TRIM(S62)="",P62,IF(AND(COUNTIFS($S$7:$S$106,S62,$M$7:$M$106,"",$B$7:$B$106,"&lt;&gt;")=0,COUNTIFS($S$7:$S$106,S62,$M$7:$M$106,"&gt;"&amp;M62)=0,COUNTIFS($S$7:$S$106,S62,$M$7:$M$106,M62,$A$7:$A$106,"&gt;"&amp;A62)=0),SUMIFS($P$7:$P$106,$S$7:$S$106,S62),"")))</f>
        <v/>
      </c>
      <c r="U62" s="34">
        <f>IF(OR(TRIM(S62)="",B62="",M62&lt;&gt;""),"",N(G62)*N(F62)+SUMIFS($P$7:$P$106,$S$7:$S$106,S62))</f>
        <v/>
      </c>
    </row>
    <row r="63" ht="19" customHeight="1">
      <c r="A63" s="23" t="n">
        <v>57</v>
      </c>
      <c r="B63" s="24" t="n"/>
      <c r="C63" s="24" t="n"/>
      <c r="D63" s="25" t="n"/>
      <c r="E63" s="26" t="n"/>
      <c r="F63" s="27" t="n"/>
      <c r="G63" s="28" t="n"/>
      <c r="H63" s="29">
        <f>IF(OR(E63="",F63="",C63="Call"),"",E63*100*F63)</f>
        <v/>
      </c>
      <c r="I63" s="30">
        <f>IF(AND(C63="Call",F63&lt;&gt;""),F63*100,"")</f>
        <v/>
      </c>
      <c r="J63" s="31" t="n"/>
      <c r="K63" s="31" t="n"/>
      <c r="L63" s="24" t="n"/>
      <c r="M63" s="31" t="n"/>
      <c r="N63" s="28" t="n"/>
      <c r="O63" s="26" t="n"/>
      <c r="P63" s="32">
        <f>IF(OR(B63="",M63=""),"",(N(G63)-N(N63))*N(F63)-N(O63))</f>
        <v/>
      </c>
      <c r="Q63" s="33">
        <f>IF(OR(P63="",E63="",F63="",J63=""),"",P63/(E63*100*F63)*365/MAX(1,M63-J63))</f>
        <v/>
      </c>
      <c r="R63" s="25" t="n"/>
      <c r="S63" s="24" t="n"/>
      <c r="T63" s="32">
        <f>IF(P63="","",IF(TRIM(S63)="",P63,IF(AND(COUNTIFS($S$7:$S$106,S63,$M$7:$M$106,"",$B$7:$B$106,"&lt;&gt;")=0,COUNTIFS($S$7:$S$106,S63,$M$7:$M$106,"&gt;"&amp;M63)=0,COUNTIFS($S$7:$S$106,S63,$M$7:$M$106,M63,$A$7:$A$106,"&gt;"&amp;A63)=0),SUMIFS($P$7:$P$106,$S$7:$S$106,S63),"")))</f>
        <v/>
      </c>
      <c r="U63" s="34">
        <f>IF(OR(TRIM(S63)="",B63="",M63&lt;&gt;""),"",N(G63)*N(F63)+SUMIFS($P$7:$P$106,$S$7:$S$106,S63))</f>
        <v/>
      </c>
    </row>
    <row r="64" ht="19" customHeight="1">
      <c r="A64" s="23" t="n">
        <v>58</v>
      </c>
      <c r="B64" s="24" t="n"/>
      <c r="C64" s="24" t="n"/>
      <c r="D64" s="25" t="n"/>
      <c r="E64" s="26" t="n"/>
      <c r="F64" s="27" t="n"/>
      <c r="G64" s="28" t="n"/>
      <c r="H64" s="29">
        <f>IF(OR(E64="",F64="",C64="Call"),"",E64*100*F64)</f>
        <v/>
      </c>
      <c r="I64" s="30">
        <f>IF(AND(C64="Call",F64&lt;&gt;""),F64*100,"")</f>
        <v/>
      </c>
      <c r="J64" s="31" t="n"/>
      <c r="K64" s="31" t="n"/>
      <c r="L64" s="24" t="n"/>
      <c r="M64" s="31" t="n"/>
      <c r="N64" s="28" t="n"/>
      <c r="O64" s="26" t="n"/>
      <c r="P64" s="32">
        <f>IF(OR(B64="",M64=""),"",(N(G64)-N(N64))*N(F64)-N(O64))</f>
        <v/>
      </c>
      <c r="Q64" s="33">
        <f>IF(OR(P64="",E64="",F64="",J64=""),"",P64/(E64*100*F64)*365/MAX(1,M64-J64))</f>
        <v/>
      </c>
      <c r="R64" s="25" t="n"/>
      <c r="S64" s="24" t="n"/>
      <c r="T64" s="32">
        <f>IF(P64="","",IF(TRIM(S64)="",P64,IF(AND(COUNTIFS($S$7:$S$106,S64,$M$7:$M$106,"",$B$7:$B$106,"&lt;&gt;")=0,COUNTIFS($S$7:$S$106,S64,$M$7:$M$106,"&gt;"&amp;M64)=0,COUNTIFS($S$7:$S$106,S64,$M$7:$M$106,M64,$A$7:$A$106,"&gt;"&amp;A64)=0),SUMIFS($P$7:$P$106,$S$7:$S$106,S64),"")))</f>
        <v/>
      </c>
      <c r="U64" s="34">
        <f>IF(OR(TRIM(S64)="",B64="",M64&lt;&gt;""),"",N(G64)*N(F64)+SUMIFS($P$7:$P$106,$S$7:$S$106,S64))</f>
        <v/>
      </c>
    </row>
    <row r="65" ht="19" customHeight="1">
      <c r="A65" s="23" t="n">
        <v>59</v>
      </c>
      <c r="B65" s="24" t="n"/>
      <c r="C65" s="24" t="n"/>
      <c r="D65" s="25" t="n"/>
      <c r="E65" s="26" t="n"/>
      <c r="F65" s="27" t="n"/>
      <c r="G65" s="28" t="n"/>
      <c r="H65" s="29">
        <f>IF(OR(E65="",F65="",C65="Call"),"",E65*100*F65)</f>
        <v/>
      </c>
      <c r="I65" s="30">
        <f>IF(AND(C65="Call",F65&lt;&gt;""),F65*100,"")</f>
        <v/>
      </c>
      <c r="J65" s="31" t="n"/>
      <c r="K65" s="31" t="n"/>
      <c r="L65" s="24" t="n"/>
      <c r="M65" s="31" t="n"/>
      <c r="N65" s="28" t="n"/>
      <c r="O65" s="26" t="n"/>
      <c r="P65" s="32">
        <f>IF(OR(B65="",M65=""),"",(N(G65)-N(N65))*N(F65)-N(O65))</f>
        <v/>
      </c>
      <c r="Q65" s="33">
        <f>IF(OR(P65="",E65="",F65="",J65=""),"",P65/(E65*100*F65)*365/MAX(1,M65-J65))</f>
        <v/>
      </c>
      <c r="R65" s="25" t="n"/>
      <c r="S65" s="24" t="n"/>
      <c r="T65" s="32">
        <f>IF(P65="","",IF(TRIM(S65)="",P65,IF(AND(COUNTIFS($S$7:$S$106,S65,$M$7:$M$106,"",$B$7:$B$106,"&lt;&gt;")=0,COUNTIFS($S$7:$S$106,S65,$M$7:$M$106,"&gt;"&amp;M65)=0,COUNTIFS($S$7:$S$106,S65,$M$7:$M$106,M65,$A$7:$A$106,"&gt;"&amp;A65)=0),SUMIFS($P$7:$P$106,$S$7:$S$106,S65),"")))</f>
        <v/>
      </c>
      <c r="U65" s="34">
        <f>IF(OR(TRIM(S65)="",B65="",M65&lt;&gt;""),"",N(G65)*N(F65)+SUMIFS($P$7:$P$106,$S$7:$S$106,S65))</f>
        <v/>
      </c>
    </row>
    <row r="66" ht="19" customHeight="1">
      <c r="A66" s="23" t="n">
        <v>60</v>
      </c>
      <c r="B66" s="24" t="n"/>
      <c r="C66" s="24" t="n"/>
      <c r="D66" s="25" t="n"/>
      <c r="E66" s="26" t="n"/>
      <c r="F66" s="27" t="n"/>
      <c r="G66" s="28" t="n"/>
      <c r="H66" s="29">
        <f>IF(OR(E66="",F66="",C66="Call"),"",E66*100*F66)</f>
        <v/>
      </c>
      <c r="I66" s="30">
        <f>IF(AND(C66="Call",F66&lt;&gt;""),F66*100,"")</f>
        <v/>
      </c>
      <c r="J66" s="31" t="n"/>
      <c r="K66" s="31" t="n"/>
      <c r="L66" s="24" t="n"/>
      <c r="M66" s="31" t="n"/>
      <c r="N66" s="28" t="n"/>
      <c r="O66" s="26" t="n"/>
      <c r="P66" s="32">
        <f>IF(OR(B66="",M66=""),"",(N(G66)-N(N66))*N(F66)-N(O66))</f>
        <v/>
      </c>
      <c r="Q66" s="33">
        <f>IF(OR(P66="",E66="",F66="",J66=""),"",P66/(E66*100*F66)*365/MAX(1,M66-J66))</f>
        <v/>
      </c>
      <c r="R66" s="25" t="n"/>
      <c r="S66" s="24" t="n"/>
      <c r="T66" s="32">
        <f>IF(P66="","",IF(TRIM(S66)="",P66,IF(AND(COUNTIFS($S$7:$S$106,S66,$M$7:$M$106,"",$B$7:$B$106,"&lt;&gt;")=0,COUNTIFS($S$7:$S$106,S66,$M$7:$M$106,"&gt;"&amp;M66)=0,COUNTIFS($S$7:$S$106,S66,$M$7:$M$106,M66,$A$7:$A$106,"&gt;"&amp;A66)=0),SUMIFS($P$7:$P$106,$S$7:$S$106,S66),"")))</f>
        <v/>
      </c>
      <c r="U66" s="34">
        <f>IF(OR(TRIM(S66)="",B66="",M66&lt;&gt;""),"",N(G66)*N(F66)+SUMIFS($P$7:$P$106,$S$7:$S$106,S66))</f>
        <v/>
      </c>
    </row>
    <row r="67" ht="19" customHeight="1">
      <c r="A67" s="23" t="n">
        <v>61</v>
      </c>
      <c r="B67" s="24" t="n"/>
      <c r="C67" s="24" t="n"/>
      <c r="D67" s="25" t="n"/>
      <c r="E67" s="26" t="n"/>
      <c r="F67" s="27" t="n"/>
      <c r="G67" s="28" t="n"/>
      <c r="H67" s="29">
        <f>IF(OR(E67="",F67="",C67="Call"),"",E67*100*F67)</f>
        <v/>
      </c>
      <c r="I67" s="30">
        <f>IF(AND(C67="Call",F67&lt;&gt;""),F67*100,"")</f>
        <v/>
      </c>
      <c r="J67" s="31" t="n"/>
      <c r="K67" s="31" t="n"/>
      <c r="L67" s="24" t="n"/>
      <c r="M67" s="31" t="n"/>
      <c r="N67" s="28" t="n"/>
      <c r="O67" s="26" t="n"/>
      <c r="P67" s="32">
        <f>IF(OR(B67="",M67=""),"",(N(G67)-N(N67))*N(F67)-N(O67))</f>
        <v/>
      </c>
      <c r="Q67" s="33">
        <f>IF(OR(P67="",E67="",F67="",J67=""),"",P67/(E67*100*F67)*365/MAX(1,M67-J67))</f>
        <v/>
      </c>
      <c r="R67" s="25" t="n"/>
      <c r="S67" s="24" t="n"/>
      <c r="T67" s="32">
        <f>IF(P67="","",IF(TRIM(S67)="",P67,IF(AND(COUNTIFS($S$7:$S$106,S67,$M$7:$M$106,"",$B$7:$B$106,"&lt;&gt;")=0,COUNTIFS($S$7:$S$106,S67,$M$7:$M$106,"&gt;"&amp;M67)=0,COUNTIFS($S$7:$S$106,S67,$M$7:$M$106,M67,$A$7:$A$106,"&gt;"&amp;A67)=0),SUMIFS($P$7:$P$106,$S$7:$S$106,S67),"")))</f>
        <v/>
      </c>
      <c r="U67" s="34">
        <f>IF(OR(TRIM(S67)="",B67="",M67&lt;&gt;""),"",N(G67)*N(F67)+SUMIFS($P$7:$P$106,$S$7:$S$106,S67))</f>
        <v/>
      </c>
    </row>
    <row r="68" ht="19" customHeight="1">
      <c r="A68" s="23" t="n">
        <v>62</v>
      </c>
      <c r="B68" s="24" t="n"/>
      <c r="C68" s="24" t="n"/>
      <c r="D68" s="25" t="n"/>
      <c r="E68" s="26" t="n"/>
      <c r="F68" s="27" t="n"/>
      <c r="G68" s="28" t="n"/>
      <c r="H68" s="29">
        <f>IF(OR(E68="",F68="",C68="Call"),"",E68*100*F68)</f>
        <v/>
      </c>
      <c r="I68" s="30">
        <f>IF(AND(C68="Call",F68&lt;&gt;""),F68*100,"")</f>
        <v/>
      </c>
      <c r="J68" s="31" t="n"/>
      <c r="K68" s="31" t="n"/>
      <c r="L68" s="24" t="n"/>
      <c r="M68" s="31" t="n"/>
      <c r="N68" s="28" t="n"/>
      <c r="O68" s="26" t="n"/>
      <c r="P68" s="32">
        <f>IF(OR(B68="",M68=""),"",(N(G68)-N(N68))*N(F68)-N(O68))</f>
        <v/>
      </c>
      <c r="Q68" s="33">
        <f>IF(OR(P68="",E68="",F68="",J68=""),"",P68/(E68*100*F68)*365/MAX(1,M68-J68))</f>
        <v/>
      </c>
      <c r="R68" s="25" t="n"/>
      <c r="S68" s="24" t="n"/>
      <c r="T68" s="32">
        <f>IF(P68="","",IF(TRIM(S68)="",P68,IF(AND(COUNTIFS($S$7:$S$106,S68,$M$7:$M$106,"",$B$7:$B$106,"&lt;&gt;")=0,COUNTIFS($S$7:$S$106,S68,$M$7:$M$106,"&gt;"&amp;M68)=0,COUNTIFS($S$7:$S$106,S68,$M$7:$M$106,M68,$A$7:$A$106,"&gt;"&amp;A68)=0),SUMIFS($P$7:$P$106,$S$7:$S$106,S68),"")))</f>
        <v/>
      </c>
      <c r="U68" s="34">
        <f>IF(OR(TRIM(S68)="",B68="",M68&lt;&gt;""),"",N(G68)*N(F68)+SUMIFS($P$7:$P$106,$S$7:$S$106,S68))</f>
        <v/>
      </c>
    </row>
    <row r="69" ht="19" customHeight="1">
      <c r="A69" s="23" t="n">
        <v>63</v>
      </c>
      <c r="B69" s="24" t="n"/>
      <c r="C69" s="24" t="n"/>
      <c r="D69" s="25" t="n"/>
      <c r="E69" s="26" t="n"/>
      <c r="F69" s="27" t="n"/>
      <c r="G69" s="28" t="n"/>
      <c r="H69" s="29">
        <f>IF(OR(E69="",F69="",C69="Call"),"",E69*100*F69)</f>
        <v/>
      </c>
      <c r="I69" s="30">
        <f>IF(AND(C69="Call",F69&lt;&gt;""),F69*100,"")</f>
        <v/>
      </c>
      <c r="J69" s="31" t="n"/>
      <c r="K69" s="31" t="n"/>
      <c r="L69" s="24" t="n"/>
      <c r="M69" s="31" t="n"/>
      <c r="N69" s="28" t="n"/>
      <c r="O69" s="26" t="n"/>
      <c r="P69" s="32">
        <f>IF(OR(B69="",M69=""),"",(N(G69)-N(N69))*N(F69)-N(O69))</f>
        <v/>
      </c>
      <c r="Q69" s="33">
        <f>IF(OR(P69="",E69="",F69="",J69=""),"",P69/(E69*100*F69)*365/MAX(1,M69-J69))</f>
        <v/>
      </c>
      <c r="R69" s="25" t="n"/>
      <c r="S69" s="24" t="n"/>
      <c r="T69" s="32">
        <f>IF(P69="","",IF(TRIM(S69)="",P69,IF(AND(COUNTIFS($S$7:$S$106,S69,$M$7:$M$106,"",$B$7:$B$106,"&lt;&gt;")=0,COUNTIFS($S$7:$S$106,S69,$M$7:$M$106,"&gt;"&amp;M69)=0,COUNTIFS($S$7:$S$106,S69,$M$7:$M$106,M69,$A$7:$A$106,"&gt;"&amp;A69)=0),SUMIFS($P$7:$P$106,$S$7:$S$106,S69),"")))</f>
        <v/>
      </c>
      <c r="U69" s="34">
        <f>IF(OR(TRIM(S69)="",B69="",M69&lt;&gt;""),"",N(G69)*N(F69)+SUMIFS($P$7:$P$106,$S$7:$S$106,S69))</f>
        <v/>
      </c>
    </row>
    <row r="70" ht="19" customHeight="1">
      <c r="A70" s="23" t="n">
        <v>64</v>
      </c>
      <c r="B70" s="24" t="n"/>
      <c r="C70" s="24" t="n"/>
      <c r="D70" s="25" t="n"/>
      <c r="E70" s="26" t="n"/>
      <c r="F70" s="27" t="n"/>
      <c r="G70" s="28" t="n"/>
      <c r="H70" s="29">
        <f>IF(OR(E70="",F70="",C70="Call"),"",E70*100*F70)</f>
        <v/>
      </c>
      <c r="I70" s="30">
        <f>IF(AND(C70="Call",F70&lt;&gt;""),F70*100,"")</f>
        <v/>
      </c>
      <c r="J70" s="31" t="n"/>
      <c r="K70" s="31" t="n"/>
      <c r="L70" s="24" t="n"/>
      <c r="M70" s="31" t="n"/>
      <c r="N70" s="28" t="n"/>
      <c r="O70" s="26" t="n"/>
      <c r="P70" s="32">
        <f>IF(OR(B70="",M70=""),"",(N(G70)-N(N70))*N(F70)-N(O70))</f>
        <v/>
      </c>
      <c r="Q70" s="33">
        <f>IF(OR(P70="",E70="",F70="",J70=""),"",P70/(E70*100*F70)*365/MAX(1,M70-J70))</f>
        <v/>
      </c>
      <c r="R70" s="25" t="n"/>
      <c r="S70" s="24" t="n"/>
      <c r="T70" s="32">
        <f>IF(P70="","",IF(TRIM(S70)="",P70,IF(AND(COUNTIFS($S$7:$S$106,S70,$M$7:$M$106,"",$B$7:$B$106,"&lt;&gt;")=0,COUNTIFS($S$7:$S$106,S70,$M$7:$M$106,"&gt;"&amp;M70)=0,COUNTIFS($S$7:$S$106,S70,$M$7:$M$106,M70,$A$7:$A$106,"&gt;"&amp;A70)=0),SUMIFS($P$7:$P$106,$S$7:$S$106,S70),"")))</f>
        <v/>
      </c>
      <c r="U70" s="34">
        <f>IF(OR(TRIM(S70)="",B70="",M70&lt;&gt;""),"",N(G70)*N(F70)+SUMIFS($P$7:$P$106,$S$7:$S$106,S70))</f>
        <v/>
      </c>
    </row>
    <row r="71" ht="19" customHeight="1">
      <c r="A71" s="23" t="n">
        <v>65</v>
      </c>
      <c r="B71" s="24" t="n"/>
      <c r="C71" s="24" t="n"/>
      <c r="D71" s="25" t="n"/>
      <c r="E71" s="26" t="n"/>
      <c r="F71" s="27" t="n"/>
      <c r="G71" s="28" t="n"/>
      <c r="H71" s="29">
        <f>IF(OR(E71="",F71="",C71="Call"),"",E71*100*F71)</f>
        <v/>
      </c>
      <c r="I71" s="30">
        <f>IF(AND(C71="Call",F71&lt;&gt;""),F71*100,"")</f>
        <v/>
      </c>
      <c r="J71" s="31" t="n"/>
      <c r="K71" s="31" t="n"/>
      <c r="L71" s="24" t="n"/>
      <c r="M71" s="31" t="n"/>
      <c r="N71" s="28" t="n"/>
      <c r="O71" s="26" t="n"/>
      <c r="P71" s="32">
        <f>IF(OR(B71="",M71=""),"",(N(G71)-N(N71))*N(F71)-N(O71))</f>
        <v/>
      </c>
      <c r="Q71" s="33">
        <f>IF(OR(P71="",E71="",F71="",J71=""),"",P71/(E71*100*F71)*365/MAX(1,M71-J71))</f>
        <v/>
      </c>
      <c r="R71" s="25" t="n"/>
      <c r="S71" s="24" t="n"/>
      <c r="T71" s="32">
        <f>IF(P71="","",IF(TRIM(S71)="",P71,IF(AND(COUNTIFS($S$7:$S$106,S71,$M$7:$M$106,"",$B$7:$B$106,"&lt;&gt;")=0,COUNTIFS($S$7:$S$106,S71,$M$7:$M$106,"&gt;"&amp;M71)=0,COUNTIFS($S$7:$S$106,S71,$M$7:$M$106,M71,$A$7:$A$106,"&gt;"&amp;A71)=0),SUMIFS($P$7:$P$106,$S$7:$S$106,S71),"")))</f>
        <v/>
      </c>
      <c r="U71" s="34">
        <f>IF(OR(TRIM(S71)="",B71="",M71&lt;&gt;""),"",N(G71)*N(F71)+SUMIFS($P$7:$P$106,$S$7:$S$106,S71))</f>
        <v/>
      </c>
    </row>
    <row r="72" ht="19" customHeight="1">
      <c r="A72" s="23" t="n">
        <v>66</v>
      </c>
      <c r="B72" s="24" t="n"/>
      <c r="C72" s="24" t="n"/>
      <c r="D72" s="25" t="n"/>
      <c r="E72" s="26" t="n"/>
      <c r="F72" s="27" t="n"/>
      <c r="G72" s="28" t="n"/>
      <c r="H72" s="29">
        <f>IF(OR(E72="",F72="",C72="Call"),"",E72*100*F72)</f>
        <v/>
      </c>
      <c r="I72" s="30">
        <f>IF(AND(C72="Call",F72&lt;&gt;""),F72*100,"")</f>
        <v/>
      </c>
      <c r="J72" s="31" t="n"/>
      <c r="K72" s="31" t="n"/>
      <c r="L72" s="24" t="n"/>
      <c r="M72" s="31" t="n"/>
      <c r="N72" s="28" t="n"/>
      <c r="O72" s="26" t="n"/>
      <c r="P72" s="32">
        <f>IF(OR(B72="",M72=""),"",(N(G72)-N(N72))*N(F72)-N(O72))</f>
        <v/>
      </c>
      <c r="Q72" s="33">
        <f>IF(OR(P72="",E72="",F72="",J72=""),"",P72/(E72*100*F72)*365/MAX(1,M72-J72))</f>
        <v/>
      </c>
      <c r="R72" s="25" t="n"/>
      <c r="S72" s="24" t="n"/>
      <c r="T72" s="32">
        <f>IF(P72="","",IF(TRIM(S72)="",P72,IF(AND(COUNTIFS($S$7:$S$106,S72,$M$7:$M$106,"",$B$7:$B$106,"&lt;&gt;")=0,COUNTIFS($S$7:$S$106,S72,$M$7:$M$106,"&gt;"&amp;M72)=0,COUNTIFS($S$7:$S$106,S72,$M$7:$M$106,M72,$A$7:$A$106,"&gt;"&amp;A72)=0),SUMIFS($P$7:$P$106,$S$7:$S$106,S72),"")))</f>
        <v/>
      </c>
      <c r="U72" s="34">
        <f>IF(OR(TRIM(S72)="",B72="",M72&lt;&gt;""),"",N(G72)*N(F72)+SUMIFS($P$7:$P$106,$S$7:$S$106,S72))</f>
        <v/>
      </c>
    </row>
    <row r="73" ht="19" customHeight="1">
      <c r="A73" s="23" t="n">
        <v>67</v>
      </c>
      <c r="B73" s="24" t="n"/>
      <c r="C73" s="24" t="n"/>
      <c r="D73" s="25" t="n"/>
      <c r="E73" s="26" t="n"/>
      <c r="F73" s="27" t="n"/>
      <c r="G73" s="28" t="n"/>
      <c r="H73" s="29">
        <f>IF(OR(E73="",F73="",C73="Call"),"",E73*100*F73)</f>
        <v/>
      </c>
      <c r="I73" s="30">
        <f>IF(AND(C73="Call",F73&lt;&gt;""),F73*100,"")</f>
        <v/>
      </c>
      <c r="J73" s="31" t="n"/>
      <c r="K73" s="31" t="n"/>
      <c r="L73" s="24" t="n"/>
      <c r="M73" s="31" t="n"/>
      <c r="N73" s="28" t="n"/>
      <c r="O73" s="26" t="n"/>
      <c r="P73" s="32">
        <f>IF(OR(B73="",M73=""),"",(N(G73)-N(N73))*N(F73)-N(O73))</f>
        <v/>
      </c>
      <c r="Q73" s="33">
        <f>IF(OR(P73="",E73="",F73="",J73=""),"",P73/(E73*100*F73)*365/MAX(1,M73-J73))</f>
        <v/>
      </c>
      <c r="R73" s="25" t="n"/>
      <c r="S73" s="24" t="n"/>
      <c r="T73" s="32">
        <f>IF(P73="","",IF(TRIM(S73)="",P73,IF(AND(COUNTIFS($S$7:$S$106,S73,$M$7:$M$106,"",$B$7:$B$106,"&lt;&gt;")=0,COUNTIFS($S$7:$S$106,S73,$M$7:$M$106,"&gt;"&amp;M73)=0,COUNTIFS($S$7:$S$106,S73,$M$7:$M$106,M73,$A$7:$A$106,"&gt;"&amp;A73)=0),SUMIFS($P$7:$P$106,$S$7:$S$106,S73),"")))</f>
        <v/>
      </c>
      <c r="U73" s="34">
        <f>IF(OR(TRIM(S73)="",B73="",M73&lt;&gt;""),"",N(G73)*N(F73)+SUMIFS($P$7:$P$106,$S$7:$S$106,S73))</f>
        <v/>
      </c>
    </row>
    <row r="74" ht="19" customHeight="1">
      <c r="A74" s="23" t="n">
        <v>68</v>
      </c>
      <c r="B74" s="24" t="n"/>
      <c r="C74" s="24" t="n"/>
      <c r="D74" s="25" t="n"/>
      <c r="E74" s="26" t="n"/>
      <c r="F74" s="27" t="n"/>
      <c r="G74" s="28" t="n"/>
      <c r="H74" s="29">
        <f>IF(OR(E74="",F74="",C74="Call"),"",E74*100*F74)</f>
        <v/>
      </c>
      <c r="I74" s="30">
        <f>IF(AND(C74="Call",F74&lt;&gt;""),F74*100,"")</f>
        <v/>
      </c>
      <c r="J74" s="31" t="n"/>
      <c r="K74" s="31" t="n"/>
      <c r="L74" s="24" t="n"/>
      <c r="M74" s="31" t="n"/>
      <c r="N74" s="28" t="n"/>
      <c r="O74" s="26" t="n"/>
      <c r="P74" s="32">
        <f>IF(OR(B74="",M74=""),"",(N(G74)-N(N74))*N(F74)-N(O74))</f>
        <v/>
      </c>
      <c r="Q74" s="33">
        <f>IF(OR(P74="",E74="",F74="",J74=""),"",P74/(E74*100*F74)*365/MAX(1,M74-J74))</f>
        <v/>
      </c>
      <c r="R74" s="25" t="n"/>
      <c r="S74" s="24" t="n"/>
      <c r="T74" s="32">
        <f>IF(P74="","",IF(TRIM(S74)="",P74,IF(AND(COUNTIFS($S$7:$S$106,S74,$M$7:$M$106,"",$B$7:$B$106,"&lt;&gt;")=0,COUNTIFS($S$7:$S$106,S74,$M$7:$M$106,"&gt;"&amp;M74)=0,COUNTIFS($S$7:$S$106,S74,$M$7:$M$106,M74,$A$7:$A$106,"&gt;"&amp;A74)=0),SUMIFS($P$7:$P$106,$S$7:$S$106,S74),"")))</f>
        <v/>
      </c>
      <c r="U74" s="34">
        <f>IF(OR(TRIM(S74)="",B74="",M74&lt;&gt;""),"",N(G74)*N(F74)+SUMIFS($P$7:$P$106,$S$7:$S$106,S74))</f>
        <v/>
      </c>
    </row>
    <row r="75" ht="19" customHeight="1">
      <c r="A75" s="23" t="n">
        <v>69</v>
      </c>
      <c r="B75" s="24" t="n"/>
      <c r="C75" s="24" t="n"/>
      <c r="D75" s="25" t="n"/>
      <c r="E75" s="26" t="n"/>
      <c r="F75" s="27" t="n"/>
      <c r="G75" s="28" t="n"/>
      <c r="H75" s="29">
        <f>IF(OR(E75="",F75="",C75="Call"),"",E75*100*F75)</f>
        <v/>
      </c>
      <c r="I75" s="30">
        <f>IF(AND(C75="Call",F75&lt;&gt;""),F75*100,"")</f>
        <v/>
      </c>
      <c r="J75" s="31" t="n"/>
      <c r="K75" s="31" t="n"/>
      <c r="L75" s="24" t="n"/>
      <c r="M75" s="31" t="n"/>
      <c r="N75" s="28" t="n"/>
      <c r="O75" s="26" t="n"/>
      <c r="P75" s="32">
        <f>IF(OR(B75="",M75=""),"",(N(G75)-N(N75))*N(F75)-N(O75))</f>
        <v/>
      </c>
      <c r="Q75" s="33">
        <f>IF(OR(P75="",E75="",F75="",J75=""),"",P75/(E75*100*F75)*365/MAX(1,M75-J75))</f>
        <v/>
      </c>
      <c r="R75" s="25" t="n"/>
      <c r="S75" s="24" t="n"/>
      <c r="T75" s="32">
        <f>IF(P75="","",IF(TRIM(S75)="",P75,IF(AND(COUNTIFS($S$7:$S$106,S75,$M$7:$M$106,"",$B$7:$B$106,"&lt;&gt;")=0,COUNTIFS($S$7:$S$106,S75,$M$7:$M$106,"&gt;"&amp;M75)=0,COUNTIFS($S$7:$S$106,S75,$M$7:$M$106,M75,$A$7:$A$106,"&gt;"&amp;A75)=0),SUMIFS($P$7:$P$106,$S$7:$S$106,S75),"")))</f>
        <v/>
      </c>
      <c r="U75" s="34">
        <f>IF(OR(TRIM(S75)="",B75="",M75&lt;&gt;""),"",N(G75)*N(F75)+SUMIFS($P$7:$P$106,$S$7:$S$106,S75))</f>
        <v/>
      </c>
    </row>
    <row r="76" ht="19" customHeight="1">
      <c r="A76" s="23" t="n">
        <v>70</v>
      </c>
      <c r="B76" s="24" t="n"/>
      <c r="C76" s="24" t="n"/>
      <c r="D76" s="25" t="n"/>
      <c r="E76" s="26" t="n"/>
      <c r="F76" s="27" t="n"/>
      <c r="G76" s="28" t="n"/>
      <c r="H76" s="29">
        <f>IF(OR(E76="",F76="",C76="Call"),"",E76*100*F76)</f>
        <v/>
      </c>
      <c r="I76" s="30">
        <f>IF(AND(C76="Call",F76&lt;&gt;""),F76*100,"")</f>
        <v/>
      </c>
      <c r="J76" s="31" t="n"/>
      <c r="K76" s="31" t="n"/>
      <c r="L76" s="24" t="n"/>
      <c r="M76" s="31" t="n"/>
      <c r="N76" s="28" t="n"/>
      <c r="O76" s="26" t="n"/>
      <c r="P76" s="32">
        <f>IF(OR(B76="",M76=""),"",(N(G76)-N(N76))*N(F76)-N(O76))</f>
        <v/>
      </c>
      <c r="Q76" s="33">
        <f>IF(OR(P76="",E76="",F76="",J76=""),"",P76/(E76*100*F76)*365/MAX(1,M76-J76))</f>
        <v/>
      </c>
      <c r="R76" s="25" t="n"/>
      <c r="S76" s="24" t="n"/>
      <c r="T76" s="32">
        <f>IF(P76="","",IF(TRIM(S76)="",P76,IF(AND(COUNTIFS($S$7:$S$106,S76,$M$7:$M$106,"",$B$7:$B$106,"&lt;&gt;")=0,COUNTIFS($S$7:$S$106,S76,$M$7:$M$106,"&gt;"&amp;M76)=0,COUNTIFS($S$7:$S$106,S76,$M$7:$M$106,M76,$A$7:$A$106,"&gt;"&amp;A76)=0),SUMIFS($P$7:$P$106,$S$7:$S$106,S76),"")))</f>
        <v/>
      </c>
      <c r="U76" s="34">
        <f>IF(OR(TRIM(S76)="",B76="",M76&lt;&gt;""),"",N(G76)*N(F76)+SUMIFS($P$7:$P$106,$S$7:$S$106,S76))</f>
        <v/>
      </c>
    </row>
    <row r="77" ht="19" customHeight="1">
      <c r="A77" s="23" t="n">
        <v>71</v>
      </c>
      <c r="B77" s="24" t="n"/>
      <c r="C77" s="24" t="n"/>
      <c r="D77" s="25" t="n"/>
      <c r="E77" s="26" t="n"/>
      <c r="F77" s="27" t="n"/>
      <c r="G77" s="28" t="n"/>
      <c r="H77" s="29">
        <f>IF(OR(E77="",F77="",C77="Call"),"",E77*100*F77)</f>
        <v/>
      </c>
      <c r="I77" s="30">
        <f>IF(AND(C77="Call",F77&lt;&gt;""),F77*100,"")</f>
        <v/>
      </c>
      <c r="J77" s="31" t="n"/>
      <c r="K77" s="31" t="n"/>
      <c r="L77" s="24" t="n"/>
      <c r="M77" s="31" t="n"/>
      <c r="N77" s="28" t="n"/>
      <c r="O77" s="26" t="n"/>
      <c r="P77" s="32">
        <f>IF(OR(B77="",M77=""),"",(N(G77)-N(N77))*N(F77)-N(O77))</f>
        <v/>
      </c>
      <c r="Q77" s="33">
        <f>IF(OR(P77="",E77="",F77="",J77=""),"",P77/(E77*100*F77)*365/MAX(1,M77-J77))</f>
        <v/>
      </c>
      <c r="R77" s="25" t="n"/>
      <c r="S77" s="24" t="n"/>
      <c r="T77" s="32">
        <f>IF(P77="","",IF(TRIM(S77)="",P77,IF(AND(COUNTIFS($S$7:$S$106,S77,$M$7:$M$106,"",$B$7:$B$106,"&lt;&gt;")=0,COUNTIFS($S$7:$S$106,S77,$M$7:$M$106,"&gt;"&amp;M77)=0,COUNTIFS($S$7:$S$106,S77,$M$7:$M$106,M77,$A$7:$A$106,"&gt;"&amp;A77)=0),SUMIFS($P$7:$P$106,$S$7:$S$106,S77),"")))</f>
        <v/>
      </c>
      <c r="U77" s="34">
        <f>IF(OR(TRIM(S77)="",B77="",M77&lt;&gt;""),"",N(G77)*N(F77)+SUMIFS($P$7:$P$106,$S$7:$S$106,S77))</f>
        <v/>
      </c>
    </row>
    <row r="78" ht="19" customHeight="1">
      <c r="A78" s="23" t="n">
        <v>72</v>
      </c>
      <c r="B78" s="24" t="n"/>
      <c r="C78" s="24" t="n"/>
      <c r="D78" s="25" t="n"/>
      <c r="E78" s="26" t="n"/>
      <c r="F78" s="27" t="n"/>
      <c r="G78" s="28" t="n"/>
      <c r="H78" s="29">
        <f>IF(OR(E78="",F78="",C78="Call"),"",E78*100*F78)</f>
        <v/>
      </c>
      <c r="I78" s="30">
        <f>IF(AND(C78="Call",F78&lt;&gt;""),F78*100,"")</f>
        <v/>
      </c>
      <c r="J78" s="31" t="n"/>
      <c r="K78" s="31" t="n"/>
      <c r="L78" s="24" t="n"/>
      <c r="M78" s="31" t="n"/>
      <c r="N78" s="28" t="n"/>
      <c r="O78" s="26" t="n"/>
      <c r="P78" s="32">
        <f>IF(OR(B78="",M78=""),"",(N(G78)-N(N78))*N(F78)-N(O78))</f>
        <v/>
      </c>
      <c r="Q78" s="33">
        <f>IF(OR(P78="",E78="",F78="",J78=""),"",P78/(E78*100*F78)*365/MAX(1,M78-J78))</f>
        <v/>
      </c>
      <c r="R78" s="25" t="n"/>
      <c r="S78" s="24" t="n"/>
      <c r="T78" s="32">
        <f>IF(P78="","",IF(TRIM(S78)="",P78,IF(AND(COUNTIFS($S$7:$S$106,S78,$M$7:$M$106,"",$B$7:$B$106,"&lt;&gt;")=0,COUNTIFS($S$7:$S$106,S78,$M$7:$M$106,"&gt;"&amp;M78)=0,COUNTIFS($S$7:$S$106,S78,$M$7:$M$106,M78,$A$7:$A$106,"&gt;"&amp;A78)=0),SUMIFS($P$7:$P$106,$S$7:$S$106,S78),"")))</f>
        <v/>
      </c>
      <c r="U78" s="34">
        <f>IF(OR(TRIM(S78)="",B78="",M78&lt;&gt;""),"",N(G78)*N(F78)+SUMIFS($P$7:$P$106,$S$7:$S$106,S78))</f>
        <v/>
      </c>
    </row>
    <row r="79" ht="19" customHeight="1">
      <c r="A79" s="23" t="n">
        <v>73</v>
      </c>
      <c r="B79" s="24" t="n"/>
      <c r="C79" s="24" t="n"/>
      <c r="D79" s="25" t="n"/>
      <c r="E79" s="26" t="n"/>
      <c r="F79" s="27" t="n"/>
      <c r="G79" s="28" t="n"/>
      <c r="H79" s="29">
        <f>IF(OR(E79="",F79="",C79="Call"),"",E79*100*F79)</f>
        <v/>
      </c>
      <c r="I79" s="30">
        <f>IF(AND(C79="Call",F79&lt;&gt;""),F79*100,"")</f>
        <v/>
      </c>
      <c r="J79" s="31" t="n"/>
      <c r="K79" s="31" t="n"/>
      <c r="L79" s="24" t="n"/>
      <c r="M79" s="31" t="n"/>
      <c r="N79" s="28" t="n"/>
      <c r="O79" s="26" t="n"/>
      <c r="P79" s="32">
        <f>IF(OR(B79="",M79=""),"",(N(G79)-N(N79))*N(F79)-N(O79))</f>
        <v/>
      </c>
      <c r="Q79" s="33">
        <f>IF(OR(P79="",E79="",F79="",J79=""),"",P79/(E79*100*F79)*365/MAX(1,M79-J79))</f>
        <v/>
      </c>
      <c r="R79" s="25" t="n"/>
      <c r="S79" s="24" t="n"/>
      <c r="T79" s="32">
        <f>IF(P79="","",IF(TRIM(S79)="",P79,IF(AND(COUNTIFS($S$7:$S$106,S79,$M$7:$M$106,"",$B$7:$B$106,"&lt;&gt;")=0,COUNTIFS($S$7:$S$106,S79,$M$7:$M$106,"&gt;"&amp;M79)=0,COUNTIFS($S$7:$S$106,S79,$M$7:$M$106,M79,$A$7:$A$106,"&gt;"&amp;A79)=0),SUMIFS($P$7:$P$106,$S$7:$S$106,S79),"")))</f>
        <v/>
      </c>
      <c r="U79" s="34">
        <f>IF(OR(TRIM(S79)="",B79="",M79&lt;&gt;""),"",N(G79)*N(F79)+SUMIFS($P$7:$P$106,$S$7:$S$106,S79))</f>
        <v/>
      </c>
    </row>
    <row r="80" ht="19" customHeight="1">
      <c r="A80" s="23" t="n">
        <v>74</v>
      </c>
      <c r="B80" s="24" t="n"/>
      <c r="C80" s="24" t="n"/>
      <c r="D80" s="25" t="n"/>
      <c r="E80" s="26" t="n"/>
      <c r="F80" s="27" t="n"/>
      <c r="G80" s="28" t="n"/>
      <c r="H80" s="29">
        <f>IF(OR(E80="",F80="",C80="Call"),"",E80*100*F80)</f>
        <v/>
      </c>
      <c r="I80" s="30">
        <f>IF(AND(C80="Call",F80&lt;&gt;""),F80*100,"")</f>
        <v/>
      </c>
      <c r="J80" s="31" t="n"/>
      <c r="K80" s="31" t="n"/>
      <c r="L80" s="24" t="n"/>
      <c r="M80" s="31" t="n"/>
      <c r="N80" s="28" t="n"/>
      <c r="O80" s="26" t="n"/>
      <c r="P80" s="32">
        <f>IF(OR(B80="",M80=""),"",(N(G80)-N(N80))*N(F80)-N(O80))</f>
        <v/>
      </c>
      <c r="Q80" s="33">
        <f>IF(OR(P80="",E80="",F80="",J80=""),"",P80/(E80*100*F80)*365/MAX(1,M80-J80))</f>
        <v/>
      </c>
      <c r="R80" s="25" t="n"/>
      <c r="S80" s="24" t="n"/>
      <c r="T80" s="32">
        <f>IF(P80="","",IF(TRIM(S80)="",P80,IF(AND(COUNTIFS($S$7:$S$106,S80,$M$7:$M$106,"",$B$7:$B$106,"&lt;&gt;")=0,COUNTIFS($S$7:$S$106,S80,$M$7:$M$106,"&gt;"&amp;M80)=0,COUNTIFS($S$7:$S$106,S80,$M$7:$M$106,M80,$A$7:$A$106,"&gt;"&amp;A80)=0),SUMIFS($P$7:$P$106,$S$7:$S$106,S80),"")))</f>
        <v/>
      </c>
      <c r="U80" s="34">
        <f>IF(OR(TRIM(S80)="",B80="",M80&lt;&gt;""),"",N(G80)*N(F80)+SUMIFS($P$7:$P$106,$S$7:$S$106,S80))</f>
        <v/>
      </c>
    </row>
    <row r="81" ht="19" customHeight="1">
      <c r="A81" s="23" t="n">
        <v>75</v>
      </c>
      <c r="B81" s="24" t="n"/>
      <c r="C81" s="24" t="n"/>
      <c r="D81" s="25" t="n"/>
      <c r="E81" s="26" t="n"/>
      <c r="F81" s="27" t="n"/>
      <c r="G81" s="28" t="n"/>
      <c r="H81" s="29">
        <f>IF(OR(E81="",F81="",C81="Call"),"",E81*100*F81)</f>
        <v/>
      </c>
      <c r="I81" s="30">
        <f>IF(AND(C81="Call",F81&lt;&gt;""),F81*100,"")</f>
        <v/>
      </c>
      <c r="J81" s="31" t="n"/>
      <c r="K81" s="31" t="n"/>
      <c r="L81" s="24" t="n"/>
      <c r="M81" s="31" t="n"/>
      <c r="N81" s="28" t="n"/>
      <c r="O81" s="26" t="n"/>
      <c r="P81" s="32">
        <f>IF(OR(B81="",M81=""),"",(N(G81)-N(N81))*N(F81)-N(O81))</f>
        <v/>
      </c>
      <c r="Q81" s="33">
        <f>IF(OR(P81="",E81="",F81="",J81=""),"",P81/(E81*100*F81)*365/MAX(1,M81-J81))</f>
        <v/>
      </c>
      <c r="R81" s="25" t="n"/>
      <c r="S81" s="24" t="n"/>
      <c r="T81" s="32">
        <f>IF(P81="","",IF(TRIM(S81)="",P81,IF(AND(COUNTIFS($S$7:$S$106,S81,$M$7:$M$106,"",$B$7:$B$106,"&lt;&gt;")=0,COUNTIFS($S$7:$S$106,S81,$M$7:$M$106,"&gt;"&amp;M81)=0,COUNTIFS($S$7:$S$106,S81,$M$7:$M$106,M81,$A$7:$A$106,"&gt;"&amp;A81)=0),SUMIFS($P$7:$P$106,$S$7:$S$106,S81),"")))</f>
        <v/>
      </c>
      <c r="U81" s="34">
        <f>IF(OR(TRIM(S81)="",B81="",M81&lt;&gt;""),"",N(G81)*N(F81)+SUMIFS($P$7:$P$106,$S$7:$S$106,S81))</f>
        <v/>
      </c>
    </row>
    <row r="82" ht="19" customHeight="1">
      <c r="A82" s="23" t="n">
        <v>76</v>
      </c>
      <c r="B82" s="24" t="n"/>
      <c r="C82" s="24" t="n"/>
      <c r="D82" s="25" t="n"/>
      <c r="E82" s="26" t="n"/>
      <c r="F82" s="27" t="n"/>
      <c r="G82" s="28" t="n"/>
      <c r="H82" s="29">
        <f>IF(OR(E82="",F82="",C82="Call"),"",E82*100*F82)</f>
        <v/>
      </c>
      <c r="I82" s="30">
        <f>IF(AND(C82="Call",F82&lt;&gt;""),F82*100,"")</f>
        <v/>
      </c>
      <c r="J82" s="31" t="n"/>
      <c r="K82" s="31" t="n"/>
      <c r="L82" s="24" t="n"/>
      <c r="M82" s="31" t="n"/>
      <c r="N82" s="28" t="n"/>
      <c r="O82" s="26" t="n"/>
      <c r="P82" s="32">
        <f>IF(OR(B82="",M82=""),"",(N(G82)-N(N82))*N(F82)-N(O82))</f>
        <v/>
      </c>
      <c r="Q82" s="33">
        <f>IF(OR(P82="",E82="",F82="",J82=""),"",P82/(E82*100*F82)*365/MAX(1,M82-J82))</f>
        <v/>
      </c>
      <c r="R82" s="25" t="n"/>
      <c r="S82" s="24" t="n"/>
      <c r="T82" s="32">
        <f>IF(P82="","",IF(TRIM(S82)="",P82,IF(AND(COUNTIFS($S$7:$S$106,S82,$M$7:$M$106,"",$B$7:$B$106,"&lt;&gt;")=0,COUNTIFS($S$7:$S$106,S82,$M$7:$M$106,"&gt;"&amp;M82)=0,COUNTIFS($S$7:$S$106,S82,$M$7:$M$106,M82,$A$7:$A$106,"&gt;"&amp;A82)=0),SUMIFS($P$7:$P$106,$S$7:$S$106,S82),"")))</f>
        <v/>
      </c>
      <c r="U82" s="34">
        <f>IF(OR(TRIM(S82)="",B82="",M82&lt;&gt;""),"",N(G82)*N(F82)+SUMIFS($P$7:$P$106,$S$7:$S$106,S82))</f>
        <v/>
      </c>
    </row>
    <row r="83" ht="19" customHeight="1">
      <c r="A83" s="23" t="n">
        <v>77</v>
      </c>
      <c r="B83" s="24" t="n"/>
      <c r="C83" s="24" t="n"/>
      <c r="D83" s="25" t="n"/>
      <c r="E83" s="26" t="n"/>
      <c r="F83" s="27" t="n"/>
      <c r="G83" s="28" t="n"/>
      <c r="H83" s="29">
        <f>IF(OR(E83="",F83="",C83="Call"),"",E83*100*F83)</f>
        <v/>
      </c>
      <c r="I83" s="30">
        <f>IF(AND(C83="Call",F83&lt;&gt;""),F83*100,"")</f>
        <v/>
      </c>
      <c r="J83" s="31" t="n"/>
      <c r="K83" s="31" t="n"/>
      <c r="L83" s="24" t="n"/>
      <c r="M83" s="31" t="n"/>
      <c r="N83" s="28" t="n"/>
      <c r="O83" s="26" t="n"/>
      <c r="P83" s="32">
        <f>IF(OR(B83="",M83=""),"",(N(G83)-N(N83))*N(F83)-N(O83))</f>
        <v/>
      </c>
      <c r="Q83" s="33">
        <f>IF(OR(P83="",E83="",F83="",J83=""),"",P83/(E83*100*F83)*365/MAX(1,M83-J83))</f>
        <v/>
      </c>
      <c r="R83" s="25" t="n"/>
      <c r="S83" s="24" t="n"/>
      <c r="T83" s="32">
        <f>IF(P83="","",IF(TRIM(S83)="",P83,IF(AND(COUNTIFS($S$7:$S$106,S83,$M$7:$M$106,"",$B$7:$B$106,"&lt;&gt;")=0,COUNTIFS($S$7:$S$106,S83,$M$7:$M$106,"&gt;"&amp;M83)=0,COUNTIFS($S$7:$S$106,S83,$M$7:$M$106,M83,$A$7:$A$106,"&gt;"&amp;A83)=0),SUMIFS($P$7:$P$106,$S$7:$S$106,S83),"")))</f>
        <v/>
      </c>
      <c r="U83" s="34">
        <f>IF(OR(TRIM(S83)="",B83="",M83&lt;&gt;""),"",N(G83)*N(F83)+SUMIFS($P$7:$P$106,$S$7:$S$106,S83))</f>
        <v/>
      </c>
    </row>
    <row r="84" ht="19" customHeight="1">
      <c r="A84" s="23" t="n">
        <v>78</v>
      </c>
      <c r="B84" s="24" t="n"/>
      <c r="C84" s="24" t="n"/>
      <c r="D84" s="25" t="n"/>
      <c r="E84" s="26" t="n"/>
      <c r="F84" s="27" t="n"/>
      <c r="G84" s="28" t="n"/>
      <c r="H84" s="29">
        <f>IF(OR(E84="",F84="",C84="Call"),"",E84*100*F84)</f>
        <v/>
      </c>
      <c r="I84" s="30">
        <f>IF(AND(C84="Call",F84&lt;&gt;""),F84*100,"")</f>
        <v/>
      </c>
      <c r="J84" s="31" t="n"/>
      <c r="K84" s="31" t="n"/>
      <c r="L84" s="24" t="n"/>
      <c r="M84" s="31" t="n"/>
      <c r="N84" s="28" t="n"/>
      <c r="O84" s="26" t="n"/>
      <c r="P84" s="32">
        <f>IF(OR(B84="",M84=""),"",(N(G84)-N(N84))*N(F84)-N(O84))</f>
        <v/>
      </c>
      <c r="Q84" s="33">
        <f>IF(OR(P84="",E84="",F84="",J84=""),"",P84/(E84*100*F84)*365/MAX(1,M84-J84))</f>
        <v/>
      </c>
      <c r="R84" s="25" t="n"/>
      <c r="S84" s="24" t="n"/>
      <c r="T84" s="32">
        <f>IF(P84="","",IF(TRIM(S84)="",P84,IF(AND(COUNTIFS($S$7:$S$106,S84,$M$7:$M$106,"",$B$7:$B$106,"&lt;&gt;")=0,COUNTIFS($S$7:$S$106,S84,$M$7:$M$106,"&gt;"&amp;M84)=0,COUNTIFS($S$7:$S$106,S84,$M$7:$M$106,M84,$A$7:$A$106,"&gt;"&amp;A84)=0),SUMIFS($P$7:$P$106,$S$7:$S$106,S84),"")))</f>
        <v/>
      </c>
      <c r="U84" s="34">
        <f>IF(OR(TRIM(S84)="",B84="",M84&lt;&gt;""),"",N(G84)*N(F84)+SUMIFS($P$7:$P$106,$S$7:$S$106,S84))</f>
        <v/>
      </c>
    </row>
    <row r="85" ht="19" customHeight="1">
      <c r="A85" s="23" t="n">
        <v>79</v>
      </c>
      <c r="B85" s="24" t="n"/>
      <c r="C85" s="24" t="n"/>
      <c r="D85" s="25" t="n"/>
      <c r="E85" s="26" t="n"/>
      <c r="F85" s="27" t="n"/>
      <c r="G85" s="28" t="n"/>
      <c r="H85" s="29">
        <f>IF(OR(E85="",F85="",C85="Call"),"",E85*100*F85)</f>
        <v/>
      </c>
      <c r="I85" s="30">
        <f>IF(AND(C85="Call",F85&lt;&gt;""),F85*100,"")</f>
        <v/>
      </c>
      <c r="J85" s="31" t="n"/>
      <c r="K85" s="31" t="n"/>
      <c r="L85" s="24" t="n"/>
      <c r="M85" s="31" t="n"/>
      <c r="N85" s="28" t="n"/>
      <c r="O85" s="26" t="n"/>
      <c r="P85" s="32">
        <f>IF(OR(B85="",M85=""),"",(N(G85)-N(N85))*N(F85)-N(O85))</f>
        <v/>
      </c>
      <c r="Q85" s="33">
        <f>IF(OR(P85="",E85="",F85="",J85=""),"",P85/(E85*100*F85)*365/MAX(1,M85-J85))</f>
        <v/>
      </c>
      <c r="R85" s="25" t="n"/>
      <c r="S85" s="24" t="n"/>
      <c r="T85" s="32">
        <f>IF(P85="","",IF(TRIM(S85)="",P85,IF(AND(COUNTIFS($S$7:$S$106,S85,$M$7:$M$106,"",$B$7:$B$106,"&lt;&gt;")=0,COUNTIFS($S$7:$S$106,S85,$M$7:$M$106,"&gt;"&amp;M85)=0,COUNTIFS($S$7:$S$106,S85,$M$7:$M$106,M85,$A$7:$A$106,"&gt;"&amp;A85)=0),SUMIFS($P$7:$P$106,$S$7:$S$106,S85),"")))</f>
        <v/>
      </c>
      <c r="U85" s="34">
        <f>IF(OR(TRIM(S85)="",B85="",M85&lt;&gt;""),"",N(G85)*N(F85)+SUMIFS($P$7:$P$106,$S$7:$S$106,S85))</f>
        <v/>
      </c>
    </row>
    <row r="86" ht="19" customHeight="1">
      <c r="A86" s="23" t="n">
        <v>80</v>
      </c>
      <c r="B86" s="24" t="n"/>
      <c r="C86" s="24" t="n"/>
      <c r="D86" s="25" t="n"/>
      <c r="E86" s="26" t="n"/>
      <c r="F86" s="27" t="n"/>
      <c r="G86" s="28" t="n"/>
      <c r="H86" s="29">
        <f>IF(OR(E86="",F86="",C86="Call"),"",E86*100*F86)</f>
        <v/>
      </c>
      <c r="I86" s="30">
        <f>IF(AND(C86="Call",F86&lt;&gt;""),F86*100,"")</f>
        <v/>
      </c>
      <c r="J86" s="31" t="n"/>
      <c r="K86" s="31" t="n"/>
      <c r="L86" s="24" t="n"/>
      <c r="M86" s="31" t="n"/>
      <c r="N86" s="28" t="n"/>
      <c r="O86" s="26" t="n"/>
      <c r="P86" s="32">
        <f>IF(OR(B86="",M86=""),"",(N(G86)-N(N86))*N(F86)-N(O86))</f>
        <v/>
      </c>
      <c r="Q86" s="33">
        <f>IF(OR(P86="",E86="",F86="",J86=""),"",P86/(E86*100*F86)*365/MAX(1,M86-J86))</f>
        <v/>
      </c>
      <c r="R86" s="25" t="n"/>
      <c r="S86" s="24" t="n"/>
      <c r="T86" s="32">
        <f>IF(P86="","",IF(TRIM(S86)="",P86,IF(AND(COUNTIFS($S$7:$S$106,S86,$M$7:$M$106,"",$B$7:$B$106,"&lt;&gt;")=0,COUNTIFS($S$7:$S$106,S86,$M$7:$M$106,"&gt;"&amp;M86)=0,COUNTIFS($S$7:$S$106,S86,$M$7:$M$106,M86,$A$7:$A$106,"&gt;"&amp;A86)=0),SUMIFS($P$7:$P$106,$S$7:$S$106,S86),"")))</f>
        <v/>
      </c>
      <c r="U86" s="34">
        <f>IF(OR(TRIM(S86)="",B86="",M86&lt;&gt;""),"",N(G86)*N(F86)+SUMIFS($P$7:$P$106,$S$7:$S$106,S86))</f>
        <v/>
      </c>
    </row>
    <row r="87" ht="19" customHeight="1">
      <c r="A87" s="23" t="n">
        <v>81</v>
      </c>
      <c r="B87" s="24" t="n"/>
      <c r="C87" s="24" t="n"/>
      <c r="D87" s="25" t="n"/>
      <c r="E87" s="26" t="n"/>
      <c r="F87" s="27" t="n"/>
      <c r="G87" s="28" t="n"/>
      <c r="H87" s="29">
        <f>IF(OR(E87="",F87="",C87="Call"),"",E87*100*F87)</f>
        <v/>
      </c>
      <c r="I87" s="30">
        <f>IF(AND(C87="Call",F87&lt;&gt;""),F87*100,"")</f>
        <v/>
      </c>
      <c r="J87" s="31" t="n"/>
      <c r="K87" s="31" t="n"/>
      <c r="L87" s="24" t="n"/>
      <c r="M87" s="31" t="n"/>
      <c r="N87" s="28" t="n"/>
      <c r="O87" s="26" t="n"/>
      <c r="P87" s="32">
        <f>IF(OR(B87="",M87=""),"",(N(G87)-N(N87))*N(F87)-N(O87))</f>
        <v/>
      </c>
      <c r="Q87" s="33">
        <f>IF(OR(P87="",E87="",F87="",J87=""),"",P87/(E87*100*F87)*365/MAX(1,M87-J87))</f>
        <v/>
      </c>
      <c r="R87" s="25" t="n"/>
      <c r="S87" s="24" t="n"/>
      <c r="T87" s="32">
        <f>IF(P87="","",IF(TRIM(S87)="",P87,IF(AND(COUNTIFS($S$7:$S$106,S87,$M$7:$M$106,"",$B$7:$B$106,"&lt;&gt;")=0,COUNTIFS($S$7:$S$106,S87,$M$7:$M$106,"&gt;"&amp;M87)=0,COUNTIFS($S$7:$S$106,S87,$M$7:$M$106,M87,$A$7:$A$106,"&gt;"&amp;A87)=0),SUMIFS($P$7:$P$106,$S$7:$S$106,S87),"")))</f>
        <v/>
      </c>
      <c r="U87" s="34">
        <f>IF(OR(TRIM(S87)="",B87="",M87&lt;&gt;""),"",N(G87)*N(F87)+SUMIFS($P$7:$P$106,$S$7:$S$106,S87))</f>
        <v/>
      </c>
    </row>
    <row r="88" ht="19" customHeight="1">
      <c r="A88" s="23" t="n">
        <v>82</v>
      </c>
      <c r="B88" s="24" t="n"/>
      <c r="C88" s="24" t="n"/>
      <c r="D88" s="25" t="n"/>
      <c r="E88" s="26" t="n"/>
      <c r="F88" s="27" t="n"/>
      <c r="G88" s="28" t="n"/>
      <c r="H88" s="29">
        <f>IF(OR(E88="",F88="",C88="Call"),"",E88*100*F88)</f>
        <v/>
      </c>
      <c r="I88" s="30">
        <f>IF(AND(C88="Call",F88&lt;&gt;""),F88*100,"")</f>
        <v/>
      </c>
      <c r="J88" s="31" t="n"/>
      <c r="K88" s="31" t="n"/>
      <c r="L88" s="24" t="n"/>
      <c r="M88" s="31" t="n"/>
      <c r="N88" s="28" t="n"/>
      <c r="O88" s="26" t="n"/>
      <c r="P88" s="32">
        <f>IF(OR(B88="",M88=""),"",(N(G88)-N(N88))*N(F88)-N(O88))</f>
        <v/>
      </c>
      <c r="Q88" s="33">
        <f>IF(OR(P88="",E88="",F88="",J88=""),"",P88/(E88*100*F88)*365/MAX(1,M88-J88))</f>
        <v/>
      </c>
      <c r="R88" s="25" t="n"/>
      <c r="S88" s="24" t="n"/>
      <c r="T88" s="32">
        <f>IF(P88="","",IF(TRIM(S88)="",P88,IF(AND(COUNTIFS($S$7:$S$106,S88,$M$7:$M$106,"",$B$7:$B$106,"&lt;&gt;")=0,COUNTIFS($S$7:$S$106,S88,$M$7:$M$106,"&gt;"&amp;M88)=0,COUNTIFS($S$7:$S$106,S88,$M$7:$M$106,M88,$A$7:$A$106,"&gt;"&amp;A88)=0),SUMIFS($P$7:$P$106,$S$7:$S$106,S88),"")))</f>
        <v/>
      </c>
      <c r="U88" s="34">
        <f>IF(OR(TRIM(S88)="",B88="",M88&lt;&gt;""),"",N(G88)*N(F88)+SUMIFS($P$7:$P$106,$S$7:$S$106,S88))</f>
        <v/>
      </c>
    </row>
    <row r="89" ht="19" customHeight="1">
      <c r="A89" s="23" t="n">
        <v>83</v>
      </c>
      <c r="B89" s="24" t="n"/>
      <c r="C89" s="24" t="n"/>
      <c r="D89" s="25" t="n"/>
      <c r="E89" s="26" t="n"/>
      <c r="F89" s="27" t="n"/>
      <c r="G89" s="28" t="n"/>
      <c r="H89" s="29">
        <f>IF(OR(E89="",F89="",C89="Call"),"",E89*100*F89)</f>
        <v/>
      </c>
      <c r="I89" s="30">
        <f>IF(AND(C89="Call",F89&lt;&gt;""),F89*100,"")</f>
        <v/>
      </c>
      <c r="J89" s="31" t="n"/>
      <c r="K89" s="31" t="n"/>
      <c r="L89" s="24" t="n"/>
      <c r="M89" s="31" t="n"/>
      <c r="N89" s="28" t="n"/>
      <c r="O89" s="26" t="n"/>
      <c r="P89" s="32">
        <f>IF(OR(B89="",M89=""),"",(N(G89)-N(N89))*N(F89)-N(O89))</f>
        <v/>
      </c>
      <c r="Q89" s="33">
        <f>IF(OR(P89="",E89="",F89="",J89=""),"",P89/(E89*100*F89)*365/MAX(1,M89-J89))</f>
        <v/>
      </c>
      <c r="R89" s="25" t="n"/>
      <c r="S89" s="24" t="n"/>
      <c r="T89" s="32">
        <f>IF(P89="","",IF(TRIM(S89)="",P89,IF(AND(COUNTIFS($S$7:$S$106,S89,$M$7:$M$106,"",$B$7:$B$106,"&lt;&gt;")=0,COUNTIFS($S$7:$S$106,S89,$M$7:$M$106,"&gt;"&amp;M89)=0,COUNTIFS($S$7:$S$106,S89,$M$7:$M$106,M89,$A$7:$A$106,"&gt;"&amp;A89)=0),SUMIFS($P$7:$P$106,$S$7:$S$106,S89),"")))</f>
        <v/>
      </c>
      <c r="U89" s="34">
        <f>IF(OR(TRIM(S89)="",B89="",M89&lt;&gt;""),"",N(G89)*N(F89)+SUMIFS($P$7:$P$106,$S$7:$S$106,S89))</f>
        <v/>
      </c>
    </row>
    <row r="90" ht="19" customHeight="1">
      <c r="A90" s="23" t="n">
        <v>84</v>
      </c>
      <c r="B90" s="24" t="n"/>
      <c r="C90" s="24" t="n"/>
      <c r="D90" s="25" t="n"/>
      <c r="E90" s="26" t="n"/>
      <c r="F90" s="27" t="n"/>
      <c r="G90" s="28" t="n"/>
      <c r="H90" s="29">
        <f>IF(OR(E90="",F90="",C90="Call"),"",E90*100*F90)</f>
        <v/>
      </c>
      <c r="I90" s="30">
        <f>IF(AND(C90="Call",F90&lt;&gt;""),F90*100,"")</f>
        <v/>
      </c>
      <c r="J90" s="31" t="n"/>
      <c r="K90" s="31" t="n"/>
      <c r="L90" s="24" t="n"/>
      <c r="M90" s="31" t="n"/>
      <c r="N90" s="28" t="n"/>
      <c r="O90" s="26" t="n"/>
      <c r="P90" s="32">
        <f>IF(OR(B90="",M90=""),"",(N(G90)-N(N90))*N(F90)-N(O90))</f>
        <v/>
      </c>
      <c r="Q90" s="33">
        <f>IF(OR(P90="",E90="",F90="",J90=""),"",P90/(E90*100*F90)*365/MAX(1,M90-J90))</f>
        <v/>
      </c>
      <c r="R90" s="25" t="n"/>
      <c r="S90" s="24" t="n"/>
      <c r="T90" s="32">
        <f>IF(P90="","",IF(TRIM(S90)="",P90,IF(AND(COUNTIFS($S$7:$S$106,S90,$M$7:$M$106,"",$B$7:$B$106,"&lt;&gt;")=0,COUNTIFS($S$7:$S$106,S90,$M$7:$M$106,"&gt;"&amp;M90)=0,COUNTIFS($S$7:$S$106,S90,$M$7:$M$106,M90,$A$7:$A$106,"&gt;"&amp;A90)=0),SUMIFS($P$7:$P$106,$S$7:$S$106,S90),"")))</f>
        <v/>
      </c>
      <c r="U90" s="34">
        <f>IF(OR(TRIM(S90)="",B90="",M90&lt;&gt;""),"",N(G90)*N(F90)+SUMIFS($P$7:$P$106,$S$7:$S$106,S90))</f>
        <v/>
      </c>
    </row>
    <row r="91" ht="19" customHeight="1">
      <c r="A91" s="23" t="n">
        <v>85</v>
      </c>
      <c r="B91" s="24" t="n"/>
      <c r="C91" s="24" t="n"/>
      <c r="D91" s="25" t="n"/>
      <c r="E91" s="26" t="n"/>
      <c r="F91" s="27" t="n"/>
      <c r="G91" s="28" t="n"/>
      <c r="H91" s="29">
        <f>IF(OR(E91="",F91="",C91="Call"),"",E91*100*F91)</f>
        <v/>
      </c>
      <c r="I91" s="30">
        <f>IF(AND(C91="Call",F91&lt;&gt;""),F91*100,"")</f>
        <v/>
      </c>
      <c r="J91" s="31" t="n"/>
      <c r="K91" s="31" t="n"/>
      <c r="L91" s="24" t="n"/>
      <c r="M91" s="31" t="n"/>
      <c r="N91" s="28" t="n"/>
      <c r="O91" s="26" t="n"/>
      <c r="P91" s="32">
        <f>IF(OR(B91="",M91=""),"",(N(G91)-N(N91))*N(F91)-N(O91))</f>
        <v/>
      </c>
      <c r="Q91" s="33">
        <f>IF(OR(P91="",E91="",F91="",J91=""),"",P91/(E91*100*F91)*365/MAX(1,M91-J91))</f>
        <v/>
      </c>
      <c r="R91" s="25" t="n"/>
      <c r="S91" s="24" t="n"/>
      <c r="T91" s="32">
        <f>IF(P91="","",IF(TRIM(S91)="",P91,IF(AND(COUNTIFS($S$7:$S$106,S91,$M$7:$M$106,"",$B$7:$B$106,"&lt;&gt;")=0,COUNTIFS($S$7:$S$106,S91,$M$7:$M$106,"&gt;"&amp;M91)=0,COUNTIFS($S$7:$S$106,S91,$M$7:$M$106,M91,$A$7:$A$106,"&gt;"&amp;A91)=0),SUMIFS($P$7:$P$106,$S$7:$S$106,S91),"")))</f>
        <v/>
      </c>
      <c r="U91" s="34">
        <f>IF(OR(TRIM(S91)="",B91="",M91&lt;&gt;""),"",N(G91)*N(F91)+SUMIFS($P$7:$P$106,$S$7:$S$106,S91))</f>
        <v/>
      </c>
    </row>
    <row r="92" ht="19" customHeight="1">
      <c r="A92" s="23" t="n">
        <v>86</v>
      </c>
      <c r="B92" s="24" t="n"/>
      <c r="C92" s="24" t="n"/>
      <c r="D92" s="25" t="n"/>
      <c r="E92" s="26" t="n"/>
      <c r="F92" s="27" t="n"/>
      <c r="G92" s="28" t="n"/>
      <c r="H92" s="29">
        <f>IF(OR(E92="",F92="",C92="Call"),"",E92*100*F92)</f>
        <v/>
      </c>
      <c r="I92" s="30">
        <f>IF(AND(C92="Call",F92&lt;&gt;""),F92*100,"")</f>
        <v/>
      </c>
      <c r="J92" s="31" t="n"/>
      <c r="K92" s="31" t="n"/>
      <c r="L92" s="24" t="n"/>
      <c r="M92" s="31" t="n"/>
      <c r="N92" s="28" t="n"/>
      <c r="O92" s="26" t="n"/>
      <c r="P92" s="32">
        <f>IF(OR(B92="",M92=""),"",(N(G92)-N(N92))*N(F92)-N(O92))</f>
        <v/>
      </c>
      <c r="Q92" s="33">
        <f>IF(OR(P92="",E92="",F92="",J92=""),"",P92/(E92*100*F92)*365/MAX(1,M92-J92))</f>
        <v/>
      </c>
      <c r="R92" s="25" t="n"/>
      <c r="S92" s="24" t="n"/>
      <c r="T92" s="32">
        <f>IF(P92="","",IF(TRIM(S92)="",P92,IF(AND(COUNTIFS($S$7:$S$106,S92,$M$7:$M$106,"",$B$7:$B$106,"&lt;&gt;")=0,COUNTIFS($S$7:$S$106,S92,$M$7:$M$106,"&gt;"&amp;M92)=0,COUNTIFS($S$7:$S$106,S92,$M$7:$M$106,M92,$A$7:$A$106,"&gt;"&amp;A92)=0),SUMIFS($P$7:$P$106,$S$7:$S$106,S92),"")))</f>
        <v/>
      </c>
      <c r="U92" s="34">
        <f>IF(OR(TRIM(S92)="",B92="",M92&lt;&gt;""),"",N(G92)*N(F92)+SUMIFS($P$7:$P$106,$S$7:$S$106,S92))</f>
        <v/>
      </c>
    </row>
    <row r="93" ht="19" customHeight="1">
      <c r="A93" s="23" t="n">
        <v>87</v>
      </c>
      <c r="B93" s="24" t="n"/>
      <c r="C93" s="24" t="n"/>
      <c r="D93" s="25" t="n"/>
      <c r="E93" s="26" t="n"/>
      <c r="F93" s="27" t="n"/>
      <c r="G93" s="28" t="n"/>
      <c r="H93" s="29">
        <f>IF(OR(E93="",F93="",C93="Call"),"",E93*100*F93)</f>
        <v/>
      </c>
      <c r="I93" s="30">
        <f>IF(AND(C93="Call",F93&lt;&gt;""),F93*100,"")</f>
        <v/>
      </c>
      <c r="J93" s="31" t="n"/>
      <c r="K93" s="31" t="n"/>
      <c r="L93" s="24" t="n"/>
      <c r="M93" s="31" t="n"/>
      <c r="N93" s="28" t="n"/>
      <c r="O93" s="26" t="n"/>
      <c r="P93" s="32">
        <f>IF(OR(B93="",M93=""),"",(N(G93)-N(N93))*N(F93)-N(O93))</f>
        <v/>
      </c>
      <c r="Q93" s="33">
        <f>IF(OR(P93="",E93="",F93="",J93=""),"",P93/(E93*100*F93)*365/MAX(1,M93-J93))</f>
        <v/>
      </c>
      <c r="R93" s="25" t="n"/>
      <c r="S93" s="24" t="n"/>
      <c r="T93" s="32">
        <f>IF(P93="","",IF(TRIM(S93)="",P93,IF(AND(COUNTIFS($S$7:$S$106,S93,$M$7:$M$106,"",$B$7:$B$106,"&lt;&gt;")=0,COUNTIFS($S$7:$S$106,S93,$M$7:$M$106,"&gt;"&amp;M93)=0,COUNTIFS($S$7:$S$106,S93,$M$7:$M$106,M93,$A$7:$A$106,"&gt;"&amp;A93)=0),SUMIFS($P$7:$P$106,$S$7:$S$106,S93),"")))</f>
        <v/>
      </c>
      <c r="U93" s="34">
        <f>IF(OR(TRIM(S93)="",B93="",M93&lt;&gt;""),"",N(G93)*N(F93)+SUMIFS($P$7:$P$106,$S$7:$S$106,S93))</f>
        <v/>
      </c>
    </row>
    <row r="94" ht="19" customHeight="1">
      <c r="A94" s="23" t="n">
        <v>88</v>
      </c>
      <c r="B94" s="24" t="n"/>
      <c r="C94" s="24" t="n"/>
      <c r="D94" s="25" t="n"/>
      <c r="E94" s="26" t="n"/>
      <c r="F94" s="27" t="n"/>
      <c r="G94" s="28" t="n"/>
      <c r="H94" s="29">
        <f>IF(OR(E94="",F94="",C94="Call"),"",E94*100*F94)</f>
        <v/>
      </c>
      <c r="I94" s="30">
        <f>IF(AND(C94="Call",F94&lt;&gt;""),F94*100,"")</f>
        <v/>
      </c>
      <c r="J94" s="31" t="n"/>
      <c r="K94" s="31" t="n"/>
      <c r="L94" s="24" t="n"/>
      <c r="M94" s="31" t="n"/>
      <c r="N94" s="28" t="n"/>
      <c r="O94" s="26" t="n"/>
      <c r="P94" s="32">
        <f>IF(OR(B94="",M94=""),"",(N(G94)-N(N94))*N(F94)-N(O94))</f>
        <v/>
      </c>
      <c r="Q94" s="33">
        <f>IF(OR(P94="",E94="",F94="",J94=""),"",P94/(E94*100*F94)*365/MAX(1,M94-J94))</f>
        <v/>
      </c>
      <c r="R94" s="25" t="n"/>
      <c r="S94" s="24" t="n"/>
      <c r="T94" s="32">
        <f>IF(P94="","",IF(TRIM(S94)="",P94,IF(AND(COUNTIFS($S$7:$S$106,S94,$M$7:$M$106,"",$B$7:$B$106,"&lt;&gt;")=0,COUNTIFS($S$7:$S$106,S94,$M$7:$M$106,"&gt;"&amp;M94)=0,COUNTIFS($S$7:$S$106,S94,$M$7:$M$106,M94,$A$7:$A$106,"&gt;"&amp;A94)=0),SUMIFS($P$7:$P$106,$S$7:$S$106,S94),"")))</f>
        <v/>
      </c>
      <c r="U94" s="34">
        <f>IF(OR(TRIM(S94)="",B94="",M94&lt;&gt;""),"",N(G94)*N(F94)+SUMIFS($P$7:$P$106,$S$7:$S$106,S94))</f>
        <v/>
      </c>
    </row>
    <row r="95" ht="19" customHeight="1">
      <c r="A95" s="23" t="n">
        <v>89</v>
      </c>
      <c r="B95" s="24" t="n"/>
      <c r="C95" s="24" t="n"/>
      <c r="D95" s="25" t="n"/>
      <c r="E95" s="26" t="n"/>
      <c r="F95" s="27" t="n"/>
      <c r="G95" s="28" t="n"/>
      <c r="H95" s="29">
        <f>IF(OR(E95="",F95="",C95="Call"),"",E95*100*F95)</f>
        <v/>
      </c>
      <c r="I95" s="30">
        <f>IF(AND(C95="Call",F95&lt;&gt;""),F95*100,"")</f>
        <v/>
      </c>
      <c r="J95" s="31" t="n"/>
      <c r="K95" s="31" t="n"/>
      <c r="L95" s="24" t="n"/>
      <c r="M95" s="31" t="n"/>
      <c r="N95" s="28" t="n"/>
      <c r="O95" s="26" t="n"/>
      <c r="P95" s="32">
        <f>IF(OR(B95="",M95=""),"",(N(G95)-N(N95))*N(F95)-N(O95))</f>
        <v/>
      </c>
      <c r="Q95" s="33">
        <f>IF(OR(P95="",E95="",F95="",J95=""),"",P95/(E95*100*F95)*365/MAX(1,M95-J95))</f>
        <v/>
      </c>
      <c r="R95" s="25" t="n"/>
      <c r="S95" s="24" t="n"/>
      <c r="T95" s="32">
        <f>IF(P95="","",IF(TRIM(S95)="",P95,IF(AND(COUNTIFS($S$7:$S$106,S95,$M$7:$M$106,"",$B$7:$B$106,"&lt;&gt;")=0,COUNTIFS($S$7:$S$106,S95,$M$7:$M$106,"&gt;"&amp;M95)=0,COUNTIFS($S$7:$S$106,S95,$M$7:$M$106,M95,$A$7:$A$106,"&gt;"&amp;A95)=0),SUMIFS($P$7:$P$106,$S$7:$S$106,S95),"")))</f>
        <v/>
      </c>
      <c r="U95" s="34">
        <f>IF(OR(TRIM(S95)="",B95="",M95&lt;&gt;""),"",N(G95)*N(F95)+SUMIFS($P$7:$P$106,$S$7:$S$106,S95))</f>
        <v/>
      </c>
    </row>
    <row r="96" ht="19" customHeight="1">
      <c r="A96" s="23" t="n">
        <v>90</v>
      </c>
      <c r="B96" s="24" t="n"/>
      <c r="C96" s="24" t="n"/>
      <c r="D96" s="25" t="n"/>
      <c r="E96" s="26" t="n"/>
      <c r="F96" s="27" t="n"/>
      <c r="G96" s="28" t="n"/>
      <c r="H96" s="29">
        <f>IF(OR(E96="",F96="",C96="Call"),"",E96*100*F96)</f>
        <v/>
      </c>
      <c r="I96" s="30">
        <f>IF(AND(C96="Call",F96&lt;&gt;""),F96*100,"")</f>
        <v/>
      </c>
      <c r="J96" s="31" t="n"/>
      <c r="K96" s="31" t="n"/>
      <c r="L96" s="24" t="n"/>
      <c r="M96" s="31" t="n"/>
      <c r="N96" s="28" t="n"/>
      <c r="O96" s="26" t="n"/>
      <c r="P96" s="32">
        <f>IF(OR(B96="",M96=""),"",(N(G96)-N(N96))*N(F96)-N(O96))</f>
        <v/>
      </c>
      <c r="Q96" s="33">
        <f>IF(OR(P96="",E96="",F96="",J96=""),"",P96/(E96*100*F96)*365/MAX(1,M96-J96))</f>
        <v/>
      </c>
      <c r="R96" s="25" t="n"/>
      <c r="S96" s="24" t="n"/>
      <c r="T96" s="32">
        <f>IF(P96="","",IF(TRIM(S96)="",P96,IF(AND(COUNTIFS($S$7:$S$106,S96,$M$7:$M$106,"",$B$7:$B$106,"&lt;&gt;")=0,COUNTIFS($S$7:$S$106,S96,$M$7:$M$106,"&gt;"&amp;M96)=0,COUNTIFS($S$7:$S$106,S96,$M$7:$M$106,M96,$A$7:$A$106,"&gt;"&amp;A96)=0),SUMIFS($P$7:$P$106,$S$7:$S$106,S96),"")))</f>
        <v/>
      </c>
      <c r="U96" s="34">
        <f>IF(OR(TRIM(S96)="",B96="",M96&lt;&gt;""),"",N(G96)*N(F96)+SUMIFS($P$7:$P$106,$S$7:$S$106,S96))</f>
        <v/>
      </c>
    </row>
    <row r="97" ht="19" customHeight="1">
      <c r="A97" s="23" t="n">
        <v>91</v>
      </c>
      <c r="B97" s="24" t="n"/>
      <c r="C97" s="24" t="n"/>
      <c r="D97" s="25" t="n"/>
      <c r="E97" s="26" t="n"/>
      <c r="F97" s="27" t="n"/>
      <c r="G97" s="28" t="n"/>
      <c r="H97" s="29">
        <f>IF(OR(E97="",F97="",C97="Call"),"",E97*100*F97)</f>
        <v/>
      </c>
      <c r="I97" s="30">
        <f>IF(AND(C97="Call",F97&lt;&gt;""),F97*100,"")</f>
        <v/>
      </c>
      <c r="J97" s="31" t="n"/>
      <c r="K97" s="31" t="n"/>
      <c r="L97" s="24" t="n"/>
      <c r="M97" s="31" t="n"/>
      <c r="N97" s="28" t="n"/>
      <c r="O97" s="26" t="n"/>
      <c r="P97" s="32">
        <f>IF(OR(B97="",M97=""),"",(N(G97)-N(N97))*N(F97)-N(O97))</f>
        <v/>
      </c>
      <c r="Q97" s="33">
        <f>IF(OR(P97="",E97="",F97="",J97=""),"",P97/(E97*100*F97)*365/MAX(1,M97-J97))</f>
        <v/>
      </c>
      <c r="R97" s="25" t="n"/>
      <c r="S97" s="24" t="n"/>
      <c r="T97" s="32">
        <f>IF(P97="","",IF(TRIM(S97)="",P97,IF(AND(COUNTIFS($S$7:$S$106,S97,$M$7:$M$106,"",$B$7:$B$106,"&lt;&gt;")=0,COUNTIFS($S$7:$S$106,S97,$M$7:$M$106,"&gt;"&amp;M97)=0,COUNTIFS($S$7:$S$106,S97,$M$7:$M$106,M97,$A$7:$A$106,"&gt;"&amp;A97)=0),SUMIFS($P$7:$P$106,$S$7:$S$106,S97),"")))</f>
        <v/>
      </c>
      <c r="U97" s="34">
        <f>IF(OR(TRIM(S97)="",B97="",M97&lt;&gt;""),"",N(G97)*N(F97)+SUMIFS($P$7:$P$106,$S$7:$S$106,S97))</f>
        <v/>
      </c>
    </row>
    <row r="98" ht="19" customHeight="1">
      <c r="A98" s="23" t="n">
        <v>92</v>
      </c>
      <c r="B98" s="24" t="n"/>
      <c r="C98" s="24" t="n"/>
      <c r="D98" s="25" t="n"/>
      <c r="E98" s="26" t="n"/>
      <c r="F98" s="27" t="n"/>
      <c r="G98" s="28" t="n"/>
      <c r="H98" s="29">
        <f>IF(OR(E98="",F98="",C98="Call"),"",E98*100*F98)</f>
        <v/>
      </c>
      <c r="I98" s="30">
        <f>IF(AND(C98="Call",F98&lt;&gt;""),F98*100,"")</f>
        <v/>
      </c>
      <c r="J98" s="31" t="n"/>
      <c r="K98" s="31" t="n"/>
      <c r="L98" s="24" t="n"/>
      <c r="M98" s="31" t="n"/>
      <c r="N98" s="28" t="n"/>
      <c r="O98" s="26" t="n"/>
      <c r="P98" s="32">
        <f>IF(OR(B98="",M98=""),"",(N(G98)-N(N98))*N(F98)-N(O98))</f>
        <v/>
      </c>
      <c r="Q98" s="33">
        <f>IF(OR(P98="",E98="",F98="",J98=""),"",P98/(E98*100*F98)*365/MAX(1,M98-J98))</f>
        <v/>
      </c>
      <c r="R98" s="25" t="n"/>
      <c r="S98" s="24" t="n"/>
      <c r="T98" s="32">
        <f>IF(P98="","",IF(TRIM(S98)="",P98,IF(AND(COUNTIFS($S$7:$S$106,S98,$M$7:$M$106,"",$B$7:$B$106,"&lt;&gt;")=0,COUNTIFS($S$7:$S$106,S98,$M$7:$M$106,"&gt;"&amp;M98)=0,COUNTIFS($S$7:$S$106,S98,$M$7:$M$106,M98,$A$7:$A$106,"&gt;"&amp;A98)=0),SUMIFS($P$7:$P$106,$S$7:$S$106,S98),"")))</f>
        <v/>
      </c>
      <c r="U98" s="34">
        <f>IF(OR(TRIM(S98)="",B98="",M98&lt;&gt;""),"",N(G98)*N(F98)+SUMIFS($P$7:$P$106,$S$7:$S$106,S98))</f>
        <v/>
      </c>
    </row>
    <row r="99" ht="19" customHeight="1">
      <c r="A99" s="23" t="n">
        <v>93</v>
      </c>
      <c r="B99" s="24" t="n"/>
      <c r="C99" s="24" t="n"/>
      <c r="D99" s="25" t="n"/>
      <c r="E99" s="26" t="n"/>
      <c r="F99" s="27" t="n"/>
      <c r="G99" s="28" t="n"/>
      <c r="H99" s="29">
        <f>IF(OR(E99="",F99="",C99="Call"),"",E99*100*F99)</f>
        <v/>
      </c>
      <c r="I99" s="30">
        <f>IF(AND(C99="Call",F99&lt;&gt;""),F99*100,"")</f>
        <v/>
      </c>
      <c r="J99" s="31" t="n"/>
      <c r="K99" s="31" t="n"/>
      <c r="L99" s="24" t="n"/>
      <c r="M99" s="31" t="n"/>
      <c r="N99" s="28" t="n"/>
      <c r="O99" s="26" t="n"/>
      <c r="P99" s="32">
        <f>IF(OR(B99="",M99=""),"",(N(G99)-N(N99))*N(F99)-N(O99))</f>
        <v/>
      </c>
      <c r="Q99" s="33">
        <f>IF(OR(P99="",E99="",F99="",J99=""),"",P99/(E99*100*F99)*365/MAX(1,M99-J99))</f>
        <v/>
      </c>
      <c r="R99" s="25" t="n"/>
      <c r="S99" s="24" t="n"/>
      <c r="T99" s="32">
        <f>IF(P99="","",IF(TRIM(S99)="",P99,IF(AND(COUNTIFS($S$7:$S$106,S99,$M$7:$M$106,"",$B$7:$B$106,"&lt;&gt;")=0,COUNTIFS($S$7:$S$106,S99,$M$7:$M$106,"&gt;"&amp;M99)=0,COUNTIFS($S$7:$S$106,S99,$M$7:$M$106,M99,$A$7:$A$106,"&gt;"&amp;A99)=0),SUMIFS($P$7:$P$106,$S$7:$S$106,S99),"")))</f>
        <v/>
      </c>
      <c r="U99" s="34">
        <f>IF(OR(TRIM(S99)="",B99="",M99&lt;&gt;""),"",N(G99)*N(F99)+SUMIFS($P$7:$P$106,$S$7:$S$106,S99))</f>
        <v/>
      </c>
    </row>
    <row r="100" ht="19" customHeight="1">
      <c r="A100" s="23" t="n">
        <v>94</v>
      </c>
      <c r="B100" s="24" t="n"/>
      <c r="C100" s="24" t="n"/>
      <c r="D100" s="25" t="n"/>
      <c r="E100" s="26" t="n"/>
      <c r="F100" s="27" t="n"/>
      <c r="G100" s="28" t="n"/>
      <c r="H100" s="29">
        <f>IF(OR(E100="",F100="",C100="Call"),"",E100*100*F100)</f>
        <v/>
      </c>
      <c r="I100" s="30">
        <f>IF(AND(C100="Call",F100&lt;&gt;""),F100*100,"")</f>
        <v/>
      </c>
      <c r="J100" s="31" t="n"/>
      <c r="K100" s="31" t="n"/>
      <c r="L100" s="24" t="n"/>
      <c r="M100" s="31" t="n"/>
      <c r="N100" s="28" t="n"/>
      <c r="O100" s="26" t="n"/>
      <c r="P100" s="32">
        <f>IF(OR(B100="",M100=""),"",(N(G100)-N(N100))*N(F100)-N(O100))</f>
        <v/>
      </c>
      <c r="Q100" s="33">
        <f>IF(OR(P100="",E100="",F100="",J100=""),"",P100/(E100*100*F100)*365/MAX(1,M100-J100))</f>
        <v/>
      </c>
      <c r="R100" s="25" t="n"/>
      <c r="S100" s="24" t="n"/>
      <c r="T100" s="32">
        <f>IF(P100="","",IF(TRIM(S100)="",P100,IF(AND(COUNTIFS($S$7:$S$106,S100,$M$7:$M$106,"",$B$7:$B$106,"&lt;&gt;")=0,COUNTIFS($S$7:$S$106,S100,$M$7:$M$106,"&gt;"&amp;M100)=0,COUNTIFS($S$7:$S$106,S100,$M$7:$M$106,M100,$A$7:$A$106,"&gt;"&amp;A100)=0),SUMIFS($P$7:$P$106,$S$7:$S$106,S100),"")))</f>
        <v/>
      </c>
      <c r="U100" s="34">
        <f>IF(OR(TRIM(S100)="",B100="",M100&lt;&gt;""),"",N(G100)*N(F100)+SUMIFS($P$7:$P$106,$S$7:$S$106,S100))</f>
        <v/>
      </c>
    </row>
    <row r="101" ht="19" customHeight="1">
      <c r="A101" s="23" t="n">
        <v>95</v>
      </c>
      <c r="B101" s="24" t="n"/>
      <c r="C101" s="24" t="n"/>
      <c r="D101" s="25" t="n"/>
      <c r="E101" s="26" t="n"/>
      <c r="F101" s="27" t="n"/>
      <c r="G101" s="28" t="n"/>
      <c r="H101" s="29">
        <f>IF(OR(E101="",F101="",C101="Call"),"",E101*100*F101)</f>
        <v/>
      </c>
      <c r="I101" s="30">
        <f>IF(AND(C101="Call",F101&lt;&gt;""),F101*100,"")</f>
        <v/>
      </c>
      <c r="J101" s="31" t="n"/>
      <c r="K101" s="31" t="n"/>
      <c r="L101" s="24" t="n"/>
      <c r="M101" s="31" t="n"/>
      <c r="N101" s="28" t="n"/>
      <c r="O101" s="26" t="n"/>
      <c r="P101" s="32">
        <f>IF(OR(B101="",M101=""),"",(N(G101)-N(N101))*N(F101)-N(O101))</f>
        <v/>
      </c>
      <c r="Q101" s="33">
        <f>IF(OR(P101="",E101="",F101="",J101=""),"",P101/(E101*100*F101)*365/MAX(1,M101-J101))</f>
        <v/>
      </c>
      <c r="R101" s="25" t="n"/>
      <c r="S101" s="24" t="n"/>
      <c r="T101" s="32">
        <f>IF(P101="","",IF(TRIM(S101)="",P101,IF(AND(COUNTIFS($S$7:$S$106,S101,$M$7:$M$106,"",$B$7:$B$106,"&lt;&gt;")=0,COUNTIFS($S$7:$S$106,S101,$M$7:$M$106,"&gt;"&amp;M101)=0,COUNTIFS($S$7:$S$106,S101,$M$7:$M$106,M101,$A$7:$A$106,"&gt;"&amp;A101)=0),SUMIFS($P$7:$P$106,$S$7:$S$106,S101),"")))</f>
        <v/>
      </c>
      <c r="U101" s="34">
        <f>IF(OR(TRIM(S101)="",B101="",M101&lt;&gt;""),"",N(G101)*N(F101)+SUMIFS($P$7:$P$106,$S$7:$S$106,S101))</f>
        <v/>
      </c>
    </row>
    <row r="102" ht="19" customHeight="1">
      <c r="A102" s="23" t="n">
        <v>96</v>
      </c>
      <c r="B102" s="24" t="n"/>
      <c r="C102" s="24" t="n"/>
      <c r="D102" s="25" t="n"/>
      <c r="E102" s="26" t="n"/>
      <c r="F102" s="27" t="n"/>
      <c r="G102" s="28" t="n"/>
      <c r="H102" s="29">
        <f>IF(OR(E102="",F102="",C102="Call"),"",E102*100*F102)</f>
        <v/>
      </c>
      <c r="I102" s="30">
        <f>IF(AND(C102="Call",F102&lt;&gt;""),F102*100,"")</f>
        <v/>
      </c>
      <c r="J102" s="31" t="n"/>
      <c r="K102" s="31" t="n"/>
      <c r="L102" s="24" t="n"/>
      <c r="M102" s="31" t="n"/>
      <c r="N102" s="28" t="n"/>
      <c r="O102" s="26" t="n"/>
      <c r="P102" s="32">
        <f>IF(OR(B102="",M102=""),"",(N(G102)-N(N102))*N(F102)-N(O102))</f>
        <v/>
      </c>
      <c r="Q102" s="33">
        <f>IF(OR(P102="",E102="",F102="",J102=""),"",P102/(E102*100*F102)*365/MAX(1,M102-J102))</f>
        <v/>
      </c>
      <c r="R102" s="25" t="n"/>
      <c r="S102" s="24" t="n"/>
      <c r="T102" s="32">
        <f>IF(P102="","",IF(TRIM(S102)="",P102,IF(AND(COUNTIFS($S$7:$S$106,S102,$M$7:$M$106,"",$B$7:$B$106,"&lt;&gt;")=0,COUNTIFS($S$7:$S$106,S102,$M$7:$M$106,"&gt;"&amp;M102)=0,COUNTIFS($S$7:$S$106,S102,$M$7:$M$106,M102,$A$7:$A$106,"&gt;"&amp;A102)=0),SUMIFS($P$7:$P$106,$S$7:$S$106,S102),"")))</f>
        <v/>
      </c>
      <c r="U102" s="34">
        <f>IF(OR(TRIM(S102)="",B102="",M102&lt;&gt;""),"",N(G102)*N(F102)+SUMIFS($P$7:$P$106,$S$7:$S$106,S102))</f>
        <v/>
      </c>
    </row>
    <row r="103" ht="19" customHeight="1">
      <c r="A103" s="23" t="n">
        <v>97</v>
      </c>
      <c r="B103" s="24" t="n"/>
      <c r="C103" s="24" t="n"/>
      <c r="D103" s="25" t="n"/>
      <c r="E103" s="26" t="n"/>
      <c r="F103" s="27" t="n"/>
      <c r="G103" s="28" t="n"/>
      <c r="H103" s="29">
        <f>IF(OR(E103="",F103="",C103="Call"),"",E103*100*F103)</f>
        <v/>
      </c>
      <c r="I103" s="30">
        <f>IF(AND(C103="Call",F103&lt;&gt;""),F103*100,"")</f>
        <v/>
      </c>
      <c r="J103" s="31" t="n"/>
      <c r="K103" s="31" t="n"/>
      <c r="L103" s="24" t="n"/>
      <c r="M103" s="31" t="n"/>
      <c r="N103" s="28" t="n"/>
      <c r="O103" s="26" t="n"/>
      <c r="P103" s="32">
        <f>IF(OR(B103="",M103=""),"",(N(G103)-N(N103))*N(F103)-N(O103))</f>
        <v/>
      </c>
      <c r="Q103" s="33">
        <f>IF(OR(P103="",E103="",F103="",J103=""),"",P103/(E103*100*F103)*365/MAX(1,M103-J103))</f>
        <v/>
      </c>
      <c r="R103" s="25" t="n"/>
      <c r="S103" s="24" t="n"/>
      <c r="T103" s="32">
        <f>IF(P103="","",IF(TRIM(S103)="",P103,IF(AND(COUNTIFS($S$7:$S$106,S103,$M$7:$M$106,"",$B$7:$B$106,"&lt;&gt;")=0,COUNTIFS($S$7:$S$106,S103,$M$7:$M$106,"&gt;"&amp;M103)=0,COUNTIFS($S$7:$S$106,S103,$M$7:$M$106,M103,$A$7:$A$106,"&gt;"&amp;A103)=0),SUMIFS($P$7:$P$106,$S$7:$S$106,S103),"")))</f>
        <v/>
      </c>
      <c r="U103" s="34">
        <f>IF(OR(TRIM(S103)="",B103="",M103&lt;&gt;""),"",N(G103)*N(F103)+SUMIFS($P$7:$P$106,$S$7:$S$106,S103))</f>
        <v/>
      </c>
    </row>
    <row r="104" ht="19" customHeight="1">
      <c r="A104" s="23" t="n">
        <v>98</v>
      </c>
      <c r="B104" s="24" t="n"/>
      <c r="C104" s="24" t="n"/>
      <c r="D104" s="25" t="n"/>
      <c r="E104" s="26" t="n"/>
      <c r="F104" s="27" t="n"/>
      <c r="G104" s="28" t="n"/>
      <c r="H104" s="29">
        <f>IF(OR(E104="",F104="",C104="Call"),"",E104*100*F104)</f>
        <v/>
      </c>
      <c r="I104" s="30">
        <f>IF(AND(C104="Call",F104&lt;&gt;""),F104*100,"")</f>
        <v/>
      </c>
      <c r="J104" s="31" t="n"/>
      <c r="K104" s="31" t="n"/>
      <c r="L104" s="24" t="n"/>
      <c r="M104" s="31" t="n"/>
      <c r="N104" s="28" t="n"/>
      <c r="O104" s="26" t="n"/>
      <c r="P104" s="32">
        <f>IF(OR(B104="",M104=""),"",(N(G104)-N(N104))*N(F104)-N(O104))</f>
        <v/>
      </c>
      <c r="Q104" s="33">
        <f>IF(OR(P104="",E104="",F104="",J104=""),"",P104/(E104*100*F104)*365/MAX(1,M104-J104))</f>
        <v/>
      </c>
      <c r="R104" s="25" t="n"/>
      <c r="S104" s="24" t="n"/>
      <c r="T104" s="32">
        <f>IF(P104="","",IF(TRIM(S104)="",P104,IF(AND(COUNTIFS($S$7:$S$106,S104,$M$7:$M$106,"",$B$7:$B$106,"&lt;&gt;")=0,COUNTIFS($S$7:$S$106,S104,$M$7:$M$106,"&gt;"&amp;M104)=0,COUNTIFS($S$7:$S$106,S104,$M$7:$M$106,M104,$A$7:$A$106,"&gt;"&amp;A104)=0),SUMIFS($P$7:$P$106,$S$7:$S$106,S104),"")))</f>
        <v/>
      </c>
      <c r="U104" s="34">
        <f>IF(OR(TRIM(S104)="",B104="",M104&lt;&gt;""),"",N(G104)*N(F104)+SUMIFS($P$7:$P$106,$S$7:$S$106,S104))</f>
        <v/>
      </c>
    </row>
    <row r="105" ht="19" customHeight="1">
      <c r="A105" s="23" t="n">
        <v>99</v>
      </c>
      <c r="B105" s="24" t="n"/>
      <c r="C105" s="24" t="n"/>
      <c r="D105" s="25" t="n"/>
      <c r="E105" s="26" t="n"/>
      <c r="F105" s="27" t="n"/>
      <c r="G105" s="28" t="n"/>
      <c r="H105" s="29">
        <f>IF(OR(E105="",F105="",C105="Call"),"",E105*100*F105)</f>
        <v/>
      </c>
      <c r="I105" s="30">
        <f>IF(AND(C105="Call",F105&lt;&gt;""),F105*100,"")</f>
        <v/>
      </c>
      <c r="J105" s="31" t="n"/>
      <c r="K105" s="31" t="n"/>
      <c r="L105" s="24" t="n"/>
      <c r="M105" s="31" t="n"/>
      <c r="N105" s="28" t="n"/>
      <c r="O105" s="26" t="n"/>
      <c r="P105" s="32">
        <f>IF(OR(B105="",M105=""),"",(N(G105)-N(N105))*N(F105)-N(O105))</f>
        <v/>
      </c>
      <c r="Q105" s="33">
        <f>IF(OR(P105="",E105="",F105="",J105=""),"",P105/(E105*100*F105)*365/MAX(1,M105-J105))</f>
        <v/>
      </c>
      <c r="R105" s="25" t="n"/>
      <c r="S105" s="24" t="n"/>
      <c r="T105" s="32">
        <f>IF(P105="","",IF(TRIM(S105)="",P105,IF(AND(COUNTIFS($S$7:$S$106,S105,$M$7:$M$106,"",$B$7:$B$106,"&lt;&gt;")=0,COUNTIFS($S$7:$S$106,S105,$M$7:$M$106,"&gt;"&amp;M105)=0,COUNTIFS($S$7:$S$106,S105,$M$7:$M$106,M105,$A$7:$A$106,"&gt;"&amp;A105)=0),SUMIFS($P$7:$P$106,$S$7:$S$106,S105),"")))</f>
        <v/>
      </c>
      <c r="U105" s="34">
        <f>IF(OR(TRIM(S105)="",B105="",M105&lt;&gt;""),"",N(G105)*N(F105)+SUMIFS($P$7:$P$106,$S$7:$S$106,S105))</f>
        <v/>
      </c>
    </row>
    <row r="106" ht="19" customHeight="1">
      <c r="A106" s="23" t="n">
        <v>100</v>
      </c>
      <c r="B106" s="24" t="n"/>
      <c r="C106" s="24" t="n"/>
      <c r="D106" s="25" t="n"/>
      <c r="E106" s="26" t="n"/>
      <c r="F106" s="27" t="n"/>
      <c r="G106" s="28" t="n"/>
      <c r="H106" s="29">
        <f>IF(OR(E106="",F106="",C106="Call"),"",E106*100*F106)</f>
        <v/>
      </c>
      <c r="I106" s="30">
        <f>IF(AND(C106="Call",F106&lt;&gt;""),F106*100,"")</f>
        <v/>
      </c>
      <c r="J106" s="31" t="n"/>
      <c r="K106" s="31" t="n"/>
      <c r="L106" s="24" t="n"/>
      <c r="M106" s="31" t="n"/>
      <c r="N106" s="28" t="n"/>
      <c r="O106" s="26" t="n"/>
      <c r="P106" s="32">
        <f>IF(OR(B106="",M106=""),"",(N(G106)-N(N106))*N(F106)-N(O106))</f>
        <v/>
      </c>
      <c r="Q106" s="33">
        <f>IF(OR(P106="",E106="",F106="",J106=""),"",P106/(E106*100*F106)*365/MAX(1,M106-J106))</f>
        <v/>
      </c>
      <c r="R106" s="25" t="n"/>
      <c r="S106" s="24" t="n"/>
      <c r="T106" s="32">
        <f>IF(P106="","",IF(TRIM(S106)="",P106,IF(AND(COUNTIFS($S$7:$S$106,S106,$M$7:$M$106,"",$B$7:$B$106,"&lt;&gt;")=0,COUNTIFS($S$7:$S$106,S106,$M$7:$M$106,"&gt;"&amp;M106)=0,COUNTIFS($S$7:$S$106,S106,$M$7:$M$106,M106,$A$7:$A$106,"&gt;"&amp;A106)=0),SUMIFS($P$7:$P$106,$S$7:$S$106,S106),"")))</f>
        <v/>
      </c>
      <c r="U106" s="34">
        <f>IF(OR(TRIM(S106)="",B106="",M106&lt;&gt;""),"",N(G106)*N(F106)+SUMIFS($P$7:$P$106,$S$7:$S$106,S106))</f>
        <v/>
      </c>
    </row>
    <row r="107" ht="22" customHeight="1">
      <c r="A107" s="35" t="inlineStr">
        <is>
          <t>TOTALS</t>
        </is>
      </c>
      <c r="G107" s="36">
        <f>SUMPRODUCT(G7:G106,F7:F106)</f>
        <v/>
      </c>
      <c r="H107" s="37">
        <f>SUMIFS(H7:H106,M7:M106,"",B7:B106,"&lt;&gt;")</f>
        <v/>
      </c>
      <c r="I107" s="38">
        <f>SUMIFS(I7:I106,M7:M106,"",B7:B106,"&lt;&gt;")</f>
        <v/>
      </c>
      <c r="P107" s="39">
        <f>SUM(P7:P106)</f>
        <v/>
      </c>
      <c r="T107" s="39">
        <f>SUM(T7:T106)</f>
        <v/>
      </c>
    </row>
    <row r="109">
      <c r="A109" s="40" t="inlineStr">
        <is>
          <t>HOW TO RECORD A TRADE (Type: Put / Call · Status: Open / Expired / Closed / Assigned / Rolled):</t>
        </is>
      </c>
    </row>
    <row r="110">
      <c r="A110" s="5" t="inlineStr">
        <is>
          <t>• Sold a cash-secured put → Type = Put. Capital (strike × 100 × contracts) counts against your cash budget.</t>
        </is>
      </c>
    </row>
    <row r="111">
      <c r="A111" s="5" t="inlineStr">
        <is>
          <t>• Sold a covered call → Type = Call. Needs 100 shares per contract (Shares Locked); it does NOT use cash budget. Keep the shares themselves in your US market share portfolio.</t>
        </is>
      </c>
    </row>
    <row r="112">
      <c r="A112" s="5" t="inlineStr">
        <is>
          <t>• Expired worthless → Status = Expired, Close Date = expiry date, leave Buy-back blank. You keep the full premium.</t>
        </is>
      </c>
    </row>
    <row r="113">
      <c r="A113" s="5" t="inlineStr">
        <is>
          <t>• Bought back early → Status = Closed, Close Date = date you closed, Buy-back/C = price paid × 100 (e.g. $3.00 → 300).</t>
        </is>
      </c>
    </row>
    <row r="114">
      <c r="A114" s="5" t="inlineStr">
        <is>
          <t>• Assigned → Status = Assigned, Close Date = assignment date, Buy-back blank. Realized P&amp;L = premium kept only. Put assigned: you now own the shares. Call assigned: your shares were sold at the strike — record that share gain/loss in your share portfolio, not here.</t>
        </is>
      </c>
    </row>
    <row r="115">
      <c r="A115" s="5" t="inlineStr">
        <is>
          <t>• Rolled → close this row (Status = Rolled, Close Date = roll date, Buy-back/C = real cost to buy back × 100), log the new option as a NEW row, and type the SAME Roll ID on both (e.g. CRDO-1; keep it on every later roll of that position).</t>
        </is>
      </c>
    </row>
    <row r="116">
      <c r="A116" s="5" t="inlineStr">
        <is>
          <t xml:space="preserve">  Roll ID effect: the legs' P&amp;L is held back (Booked P&amp;L blank) until the last leg closes, then the whole chain lands in that month. Roll Net Credit on the open leg = total credit left after buy-backs; break-even = Strike − Net Credit ÷ (100 × Contr). Broker-basis P&amp;L card = per-leg P&amp;L the way your broker / tax statement shows it.</t>
        </is>
      </c>
    </row>
    <row r="117">
      <c r="A117" s="5" t="inlineStr">
        <is>
          <t>Red Close Date = earlier than Entry Date (check the year). Amber Status = says Open but has a Close Date. Results by month / quarter / year: Monthly Summary tab. Not financial advice.</t>
        </is>
      </c>
    </row>
  </sheetData>
  <mergeCells count="37">
    <mergeCell ref="K3:U3"/>
    <mergeCell ref="C5:D5"/>
    <mergeCell ref="E5:F5"/>
    <mergeCell ref="K5:L5"/>
    <mergeCell ref="A3:C3"/>
    <mergeCell ref="F3:H3"/>
    <mergeCell ref="M5:N5"/>
    <mergeCell ref="C4:D4"/>
    <mergeCell ref="E4:F4"/>
    <mergeCell ref="A2:U2"/>
    <mergeCell ref="O5:P5"/>
    <mergeCell ref="Q5:R5"/>
    <mergeCell ref="A113:U113"/>
    <mergeCell ref="A116:U116"/>
    <mergeCell ref="O4:P4"/>
    <mergeCell ref="Q4:R4"/>
    <mergeCell ref="I3:J3"/>
    <mergeCell ref="A109:U109"/>
    <mergeCell ref="A112:U112"/>
    <mergeCell ref="A5:B5"/>
    <mergeCell ref="G5:H5"/>
    <mergeCell ref="A115:U115"/>
    <mergeCell ref="I5:J5"/>
    <mergeCell ref="A117:U117"/>
    <mergeCell ref="A111:U111"/>
    <mergeCell ref="D3:E3"/>
    <mergeCell ref="A4:B4"/>
    <mergeCell ref="G4:H4"/>
    <mergeCell ref="A114:U114"/>
    <mergeCell ref="A107:F107"/>
    <mergeCell ref="I4:J4"/>
    <mergeCell ref="S5:T5"/>
    <mergeCell ref="K4:L4"/>
    <mergeCell ref="A1:U1"/>
    <mergeCell ref="M4:N4"/>
    <mergeCell ref="S4:T4"/>
    <mergeCell ref="A110:U110"/>
  </mergeCells>
  <conditionalFormatting sqref="M7:M106">
    <cfRule type="expression" priority="1" dxfId="0">
      <formula>AND($M7&lt;&gt;"",$J7&lt;&gt;"",$M7&lt;$J7)</formula>
    </cfRule>
  </conditionalFormatting>
  <conditionalFormatting sqref="L7:L106">
    <cfRule type="expression" priority="2" dxfId="1">
      <formula>AND($M7&lt;&gt;"",$L7="Open")</formula>
    </cfRule>
  </conditionalFormatting>
  <conditionalFormatting sqref="C7:C106">
    <cfRule type="expression" priority="3" dxfId="2">
      <formula>$C7="Call"</formula>
    </cfRule>
  </conditionalFormatting>
  <conditionalFormatting sqref="B7:U106">
    <cfRule type="expression" priority="4" dxfId="3">
      <formula>AND($B7&lt;&gt;"",$M7&lt;&gt;"")</formula>
    </cfRule>
  </conditionalFormatting>
  <dataValidations count="2">
    <dataValidation sqref="L7:L106" showDropDown="0" showInputMessage="0" showErrorMessage="0" allowBlank="1" error="Choose Open, Expired, Closed, Assigned or Rolled" type="list">
      <formula1>"Open,Expired,Closed,Assigned,Rolled"</formula1>
    </dataValidation>
    <dataValidation sqref="C7:C106" showDropDown="0" showInputMessage="0" showErrorMessage="0" allowBlank="1" error="Choose Put (cash-secured put) or Call (covered call)" type="list">
      <formula1>"Put,Call"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0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4" customWidth="1" min="6" max="6"/>
    <col width="14" customWidth="1" min="7" max="7"/>
    <col width="8" customWidth="1" min="8" max="8"/>
    <col width="7" customWidth="1" min="9" max="9"/>
    <col width="10" customWidth="1" min="10" max="10"/>
    <col width="12" customWidth="1" min="11" max="11"/>
    <col width="14" customWidth="1" min="12" max="12"/>
  </cols>
  <sheetData>
    <row r="1" ht="32" customHeight="1">
      <c r="A1" s="41" t="inlineStr">
        <is>
          <t>MONTHLY SUMMARY — ACTUAL RESULTS (PUTS &amp; COVERED CALLS)</t>
        </is>
      </c>
    </row>
    <row r="2" ht="30" customHeight="1">
      <c r="A2" s="42" t="inlineStr">
        <is>
          <t>From Jan 2026. Realized P&amp;L counts in the month a trade CLOSED (a roll chain: the month its LAST leg closed); Premium Opened = premium from options sold that month, less roll buy-backs (= net credit). YTD = running total within the year. Target = monthly target in My Portfolio cell I3. Updates automatically from My Portfolio.</t>
        </is>
      </c>
    </row>
    <row r="4" ht="30" customHeight="1">
      <c r="A4" s="21" t="inlineStr">
        <is>
          <t>Period</t>
        </is>
      </c>
      <c r="B4" s="21" t="inlineStr">
        <is>
          <t>Put Premium
Opened</t>
        </is>
      </c>
      <c r="C4" s="43" t="inlineStr">
        <is>
          <t>Call Premium
Opened</t>
        </is>
      </c>
      <c r="D4" s="21" t="inlineStr">
        <is>
          <t>Put Realized
P&amp;L</t>
        </is>
      </c>
      <c r="E4" s="43" t="inlineStr">
        <is>
          <t>Call Realized
P&amp;L</t>
        </is>
      </c>
      <c r="F4" s="21" t="inlineStr">
        <is>
          <t>Total Realized
P&amp;L</t>
        </is>
      </c>
      <c r="G4" s="21" t="inlineStr">
        <is>
          <t>YTD Realized
P&amp;L</t>
        </is>
      </c>
      <c r="H4" s="21" t="inlineStr">
        <is>
          <t>Closed</t>
        </is>
      </c>
      <c r="I4" s="21" t="inlineStr">
        <is>
          <t>Wins</t>
        </is>
      </c>
      <c r="J4" s="21" t="inlineStr">
        <is>
          <t>Target</t>
        </is>
      </c>
      <c r="K4" s="21" t="inlineStr">
        <is>
          <t>vs Target</t>
        </is>
      </c>
      <c r="L4" s="21" t="inlineStr">
        <is>
          <t>Status</t>
        </is>
      </c>
    </row>
    <row r="5">
      <c r="A5" s="44" t="n">
        <v>46023</v>
      </c>
      <c r="B5" s="45">
        <f>SUMPRODUCT(('My Portfolio'!$J$7:$J$106&gt;=$A5)*('My Portfolio'!$J$7:$J$106&lt;=EOMONTH($A5,0))*('My Portfolio'!$C$7:$C$106&lt;&gt;"Call")*'My Portfolio'!$G$7:$G$106*'My Portfolio'!$F$7:$F$106)-SUMPRODUCT(('My Portfolio'!$M$7:$M$106&gt;=$A5)*('My Portfolio'!$M$7:$M$106&lt;=EOMONTH($A5,0))*('My Portfolio'!$C$7:$C$106&lt;&gt;"Call")*(TRIM('My Portfolio'!$S$7:$S$106)&lt;&gt;"")*('My Portfolio'!$T$7:$T$106="")*'My Portfolio'!$N$7:$N$106*'My Portfolio'!$F$7:$F$106)</f>
        <v/>
      </c>
      <c r="C5" s="45">
        <f>SUMPRODUCT(('My Portfolio'!$J$7:$J$106&gt;=$A5)*('My Portfolio'!$J$7:$J$106&lt;=EOMONTH($A5,0))*('My Portfolio'!$C$7:$C$106="Call")*'My Portfolio'!$G$7:$G$106*'My Portfolio'!$F$7:$F$106)-SUMPRODUCT(('My Portfolio'!$M$7:$M$106&gt;=$A5)*('My Portfolio'!$M$7:$M$106&lt;=EOMONTH($A5,0))*('My Portfolio'!$C$7:$C$106="Call")*(TRIM('My Portfolio'!$S$7:$S$106)&lt;&gt;"")*('My Portfolio'!$T$7:$T$106="")*'My Portfolio'!$N$7:$N$106*'My Portfolio'!$F$7:$F$106)</f>
        <v/>
      </c>
      <c r="D5" s="45">
        <f>SUMIFS('My Portfolio'!$T$7:$T$106,'My Portfolio'!$M$7:$M$106,"&gt;="&amp;$A5,'My Portfolio'!$M$7:$M$106,"&lt;="&amp;EOMONTH($A5,0),'My Portfolio'!$C$7:$C$106,"&lt;&gt;Call")</f>
        <v/>
      </c>
      <c r="E5" s="45">
        <f>SUMIFS('My Portfolio'!$T$7:$T$106,'My Portfolio'!$M$7:$M$106,"&gt;="&amp;$A5,'My Portfolio'!$M$7:$M$106,"&lt;="&amp;EOMONTH($A5,0),'My Portfolio'!$C$7:$C$106,"Call")</f>
        <v/>
      </c>
      <c r="F5" s="46">
        <f>D5+E5</f>
        <v/>
      </c>
      <c r="G5" s="45">
        <f>F5</f>
        <v/>
      </c>
      <c r="H5" s="47">
        <f>COUNTIFS('My Portfolio'!$M$7:$M$106,"&gt;="&amp;$A5,'My Portfolio'!$M$7:$M$106,"&lt;="&amp;EOMONTH($A5,0),'My Portfolio'!$T$7:$T$106,"&gt;0")+COUNTIFS('My Portfolio'!$M$7:$M$106,"&gt;="&amp;$A5,'My Portfolio'!$M$7:$M$106,"&lt;="&amp;EOMONTH($A5,0),'My Portfolio'!$T$7:$T$106,"&lt;=0")</f>
        <v/>
      </c>
      <c r="I5" s="47">
        <f>COUNTIFS('My Portfolio'!$M$7:$M$106,"&gt;="&amp;$A5,'My Portfolio'!$M$7:$M$106,"&lt;="&amp;EOMONTH($A5,0),'My Portfolio'!$T$7:$T$106,"&gt;0")</f>
        <v/>
      </c>
      <c r="J5" s="48">
        <f>'My Portfolio'!$I$3</f>
        <v/>
      </c>
      <c r="K5" s="45">
        <f>F5-J5</f>
        <v/>
      </c>
      <c r="L5" s="49">
        <f>IF($A5&gt;TODAY(),"upcoming",IF(F5&gt;=J5,"✓ target met",IF($A5=DATE(YEAR(TODAY()),MONTH(TODAY()),1),"in progress","below target")))</f>
        <v/>
      </c>
    </row>
    <row r="6">
      <c r="A6" s="50" t="n">
        <v>46054</v>
      </c>
      <c r="B6" s="51">
        <f>SUMPRODUCT(('My Portfolio'!$J$7:$J$106&gt;=$A6)*('My Portfolio'!$J$7:$J$106&lt;=EOMONTH($A6,0))*('My Portfolio'!$C$7:$C$106&lt;&gt;"Call")*'My Portfolio'!$G$7:$G$106*'My Portfolio'!$F$7:$F$106)-SUMPRODUCT(('My Portfolio'!$M$7:$M$106&gt;=$A6)*('My Portfolio'!$M$7:$M$106&lt;=EOMONTH($A6,0))*('My Portfolio'!$C$7:$C$106&lt;&gt;"Call")*(TRIM('My Portfolio'!$S$7:$S$106)&lt;&gt;"")*('My Portfolio'!$T$7:$T$106="")*'My Portfolio'!$N$7:$N$106*'My Portfolio'!$F$7:$F$106)</f>
        <v/>
      </c>
      <c r="C6" s="51">
        <f>SUMPRODUCT(('My Portfolio'!$J$7:$J$106&gt;=$A6)*('My Portfolio'!$J$7:$J$106&lt;=EOMONTH($A6,0))*('My Portfolio'!$C$7:$C$106="Call")*'My Portfolio'!$G$7:$G$106*'My Portfolio'!$F$7:$F$106)-SUMPRODUCT(('My Portfolio'!$M$7:$M$106&gt;=$A6)*('My Portfolio'!$M$7:$M$106&lt;=EOMONTH($A6,0))*('My Portfolio'!$C$7:$C$106="Call")*(TRIM('My Portfolio'!$S$7:$S$106)&lt;&gt;"")*('My Portfolio'!$T$7:$T$106="")*'My Portfolio'!$N$7:$N$106*'My Portfolio'!$F$7:$F$106)</f>
        <v/>
      </c>
      <c r="D6" s="51">
        <f>SUMIFS('My Portfolio'!$T$7:$T$106,'My Portfolio'!$M$7:$M$106,"&gt;="&amp;$A6,'My Portfolio'!$M$7:$M$106,"&lt;="&amp;EOMONTH($A6,0),'My Portfolio'!$C$7:$C$106,"&lt;&gt;Call")</f>
        <v/>
      </c>
      <c r="E6" s="51">
        <f>SUMIFS('My Portfolio'!$T$7:$T$106,'My Portfolio'!$M$7:$M$106,"&gt;="&amp;$A6,'My Portfolio'!$M$7:$M$106,"&lt;="&amp;EOMONTH($A6,0),'My Portfolio'!$C$7:$C$106,"Call")</f>
        <v/>
      </c>
      <c r="F6" s="52">
        <f>D6+E6</f>
        <v/>
      </c>
      <c r="G6" s="51">
        <f>G5+F6</f>
        <v/>
      </c>
      <c r="H6" s="53">
        <f>COUNTIFS('My Portfolio'!$M$7:$M$106,"&gt;="&amp;$A6,'My Portfolio'!$M$7:$M$106,"&lt;="&amp;EOMONTH($A6,0),'My Portfolio'!$T$7:$T$106,"&gt;0")+COUNTIFS('My Portfolio'!$M$7:$M$106,"&gt;="&amp;$A6,'My Portfolio'!$M$7:$M$106,"&lt;="&amp;EOMONTH($A6,0),'My Portfolio'!$T$7:$T$106,"&lt;=0")</f>
        <v/>
      </c>
      <c r="I6" s="53">
        <f>COUNTIFS('My Portfolio'!$M$7:$M$106,"&gt;="&amp;$A6,'My Portfolio'!$M$7:$M$106,"&lt;="&amp;EOMONTH($A6,0),'My Portfolio'!$T$7:$T$106,"&gt;0")</f>
        <v/>
      </c>
      <c r="J6" s="54">
        <f>'My Portfolio'!$I$3</f>
        <v/>
      </c>
      <c r="K6" s="51">
        <f>F6-J6</f>
        <v/>
      </c>
      <c r="L6" s="55">
        <f>IF($A6&gt;TODAY(),"upcoming",IF(F6&gt;=J6,"✓ target met",IF($A6=DATE(YEAR(TODAY()),MONTH(TODAY()),1),"in progress","below target")))</f>
        <v/>
      </c>
    </row>
    <row r="7">
      <c r="A7" s="44" t="n">
        <v>46082</v>
      </c>
      <c r="B7" s="45">
        <f>SUMPRODUCT(('My Portfolio'!$J$7:$J$106&gt;=$A7)*('My Portfolio'!$J$7:$J$106&lt;=EOMONTH($A7,0))*('My Portfolio'!$C$7:$C$106&lt;&gt;"Call")*'My Portfolio'!$G$7:$G$106*'My Portfolio'!$F$7:$F$106)-SUMPRODUCT(('My Portfolio'!$M$7:$M$106&gt;=$A7)*('My Portfolio'!$M$7:$M$106&lt;=EOMONTH($A7,0))*('My Portfolio'!$C$7:$C$106&lt;&gt;"Call")*(TRIM('My Portfolio'!$S$7:$S$106)&lt;&gt;"")*('My Portfolio'!$T$7:$T$106="")*'My Portfolio'!$N$7:$N$106*'My Portfolio'!$F$7:$F$106)</f>
        <v/>
      </c>
      <c r="C7" s="45">
        <f>SUMPRODUCT(('My Portfolio'!$J$7:$J$106&gt;=$A7)*('My Portfolio'!$J$7:$J$106&lt;=EOMONTH($A7,0))*('My Portfolio'!$C$7:$C$106="Call")*'My Portfolio'!$G$7:$G$106*'My Portfolio'!$F$7:$F$106)-SUMPRODUCT(('My Portfolio'!$M$7:$M$106&gt;=$A7)*('My Portfolio'!$M$7:$M$106&lt;=EOMONTH($A7,0))*('My Portfolio'!$C$7:$C$106="Call")*(TRIM('My Portfolio'!$S$7:$S$106)&lt;&gt;"")*('My Portfolio'!$T$7:$T$106="")*'My Portfolio'!$N$7:$N$106*'My Portfolio'!$F$7:$F$106)</f>
        <v/>
      </c>
      <c r="D7" s="45">
        <f>SUMIFS('My Portfolio'!$T$7:$T$106,'My Portfolio'!$M$7:$M$106,"&gt;="&amp;$A7,'My Portfolio'!$M$7:$M$106,"&lt;="&amp;EOMONTH($A7,0),'My Portfolio'!$C$7:$C$106,"&lt;&gt;Call")</f>
        <v/>
      </c>
      <c r="E7" s="45">
        <f>SUMIFS('My Portfolio'!$T$7:$T$106,'My Portfolio'!$M$7:$M$106,"&gt;="&amp;$A7,'My Portfolio'!$M$7:$M$106,"&lt;="&amp;EOMONTH($A7,0),'My Portfolio'!$C$7:$C$106,"Call")</f>
        <v/>
      </c>
      <c r="F7" s="46">
        <f>D7+E7</f>
        <v/>
      </c>
      <c r="G7" s="45">
        <f>G6+F7</f>
        <v/>
      </c>
      <c r="H7" s="47">
        <f>COUNTIFS('My Portfolio'!$M$7:$M$106,"&gt;="&amp;$A7,'My Portfolio'!$M$7:$M$106,"&lt;="&amp;EOMONTH($A7,0),'My Portfolio'!$T$7:$T$106,"&gt;0")+COUNTIFS('My Portfolio'!$M$7:$M$106,"&gt;="&amp;$A7,'My Portfolio'!$M$7:$M$106,"&lt;="&amp;EOMONTH($A7,0),'My Portfolio'!$T$7:$T$106,"&lt;=0")</f>
        <v/>
      </c>
      <c r="I7" s="47">
        <f>COUNTIFS('My Portfolio'!$M$7:$M$106,"&gt;="&amp;$A7,'My Portfolio'!$M$7:$M$106,"&lt;="&amp;EOMONTH($A7,0),'My Portfolio'!$T$7:$T$106,"&gt;0")</f>
        <v/>
      </c>
      <c r="J7" s="48">
        <f>'My Portfolio'!$I$3</f>
        <v/>
      </c>
      <c r="K7" s="45">
        <f>F7-J7</f>
        <v/>
      </c>
      <c r="L7" s="49">
        <f>IF($A7&gt;TODAY(),"upcoming",IF(F7&gt;=J7,"✓ target met",IF($A7=DATE(YEAR(TODAY()),MONTH(TODAY()),1),"in progress","below target")))</f>
        <v/>
      </c>
    </row>
    <row r="8">
      <c r="A8" s="56" t="inlineStr">
        <is>
          <t>Q1 2026</t>
        </is>
      </c>
      <c r="B8" s="57">
        <f>B5+B6+B7</f>
        <v/>
      </c>
      <c r="C8" s="57">
        <f>C5+C6+C7</f>
        <v/>
      </c>
      <c r="D8" s="57">
        <f>D5+D6+D7</f>
        <v/>
      </c>
      <c r="E8" s="57">
        <f>E5+E6+E7</f>
        <v/>
      </c>
      <c r="F8" s="57">
        <f>F5+F6+F7</f>
        <v/>
      </c>
      <c r="G8" s="57">
        <f>G7</f>
        <v/>
      </c>
      <c r="H8" s="56">
        <f>H5+H6+H7</f>
        <v/>
      </c>
      <c r="I8" s="56">
        <f>I5+I6+I7</f>
        <v/>
      </c>
      <c r="J8" s="57">
        <f>IF(A5&lt;=TODAY(),J5,0)+IF(A6&lt;=TODAY(),J6,0)+IF(A7&lt;=TODAY(),J7,0)</f>
        <v/>
      </c>
      <c r="K8" s="57">
        <f>F8-J8</f>
        <v/>
      </c>
      <c r="L8" s="56">
        <f>IF(A5&gt;TODAY(),"upcoming",IF(F8&gt;=J8,"✓ target met",IF(A7&gt;=DATE(YEAR(TODAY()),MONTH(TODAY()),1),"in progress","below target")))</f>
        <v/>
      </c>
    </row>
    <row r="9">
      <c r="A9" s="50" t="n">
        <v>46113</v>
      </c>
      <c r="B9" s="51">
        <f>SUMPRODUCT(('My Portfolio'!$J$7:$J$106&gt;=$A9)*('My Portfolio'!$J$7:$J$106&lt;=EOMONTH($A9,0))*('My Portfolio'!$C$7:$C$106&lt;&gt;"Call")*'My Portfolio'!$G$7:$G$106*'My Portfolio'!$F$7:$F$106)-SUMPRODUCT(('My Portfolio'!$M$7:$M$106&gt;=$A9)*('My Portfolio'!$M$7:$M$106&lt;=EOMONTH($A9,0))*('My Portfolio'!$C$7:$C$106&lt;&gt;"Call")*(TRIM('My Portfolio'!$S$7:$S$106)&lt;&gt;"")*('My Portfolio'!$T$7:$T$106="")*'My Portfolio'!$N$7:$N$106*'My Portfolio'!$F$7:$F$106)</f>
        <v/>
      </c>
      <c r="C9" s="51">
        <f>SUMPRODUCT(('My Portfolio'!$J$7:$J$106&gt;=$A9)*('My Portfolio'!$J$7:$J$106&lt;=EOMONTH($A9,0))*('My Portfolio'!$C$7:$C$106="Call")*'My Portfolio'!$G$7:$G$106*'My Portfolio'!$F$7:$F$106)-SUMPRODUCT(('My Portfolio'!$M$7:$M$106&gt;=$A9)*('My Portfolio'!$M$7:$M$106&lt;=EOMONTH($A9,0))*('My Portfolio'!$C$7:$C$106="Call")*(TRIM('My Portfolio'!$S$7:$S$106)&lt;&gt;"")*('My Portfolio'!$T$7:$T$106="")*'My Portfolio'!$N$7:$N$106*'My Portfolio'!$F$7:$F$106)</f>
        <v/>
      </c>
      <c r="D9" s="51">
        <f>SUMIFS('My Portfolio'!$T$7:$T$106,'My Portfolio'!$M$7:$M$106,"&gt;="&amp;$A9,'My Portfolio'!$M$7:$M$106,"&lt;="&amp;EOMONTH($A9,0),'My Portfolio'!$C$7:$C$106,"&lt;&gt;Call")</f>
        <v/>
      </c>
      <c r="E9" s="51">
        <f>SUMIFS('My Portfolio'!$T$7:$T$106,'My Portfolio'!$M$7:$M$106,"&gt;="&amp;$A9,'My Portfolio'!$M$7:$M$106,"&lt;="&amp;EOMONTH($A9,0),'My Portfolio'!$C$7:$C$106,"Call")</f>
        <v/>
      </c>
      <c r="F9" s="52">
        <f>D9+E9</f>
        <v/>
      </c>
      <c r="G9" s="51">
        <f>G7+F9</f>
        <v/>
      </c>
      <c r="H9" s="53">
        <f>COUNTIFS('My Portfolio'!$M$7:$M$106,"&gt;="&amp;$A9,'My Portfolio'!$M$7:$M$106,"&lt;="&amp;EOMONTH($A9,0),'My Portfolio'!$T$7:$T$106,"&gt;0")+COUNTIFS('My Portfolio'!$M$7:$M$106,"&gt;="&amp;$A9,'My Portfolio'!$M$7:$M$106,"&lt;="&amp;EOMONTH($A9,0),'My Portfolio'!$T$7:$T$106,"&lt;=0")</f>
        <v/>
      </c>
      <c r="I9" s="53">
        <f>COUNTIFS('My Portfolio'!$M$7:$M$106,"&gt;="&amp;$A9,'My Portfolio'!$M$7:$M$106,"&lt;="&amp;EOMONTH($A9,0),'My Portfolio'!$T$7:$T$106,"&gt;0")</f>
        <v/>
      </c>
      <c r="J9" s="54">
        <f>'My Portfolio'!$I$3</f>
        <v/>
      </c>
      <c r="K9" s="51">
        <f>F9-J9</f>
        <v/>
      </c>
      <c r="L9" s="55">
        <f>IF($A9&gt;TODAY(),"upcoming",IF(F9&gt;=J9,"✓ target met",IF($A9=DATE(YEAR(TODAY()),MONTH(TODAY()),1),"in progress","below target")))</f>
        <v/>
      </c>
    </row>
    <row r="10">
      <c r="A10" s="44" t="n">
        <v>46143</v>
      </c>
      <c r="B10" s="45">
        <f>SUMPRODUCT(('My Portfolio'!$J$7:$J$106&gt;=$A10)*('My Portfolio'!$J$7:$J$106&lt;=EOMONTH($A10,0))*('My Portfolio'!$C$7:$C$106&lt;&gt;"Call")*'My Portfolio'!$G$7:$G$106*'My Portfolio'!$F$7:$F$106)-SUMPRODUCT(('My Portfolio'!$M$7:$M$106&gt;=$A10)*('My Portfolio'!$M$7:$M$106&lt;=EOMONTH($A10,0))*('My Portfolio'!$C$7:$C$106&lt;&gt;"Call")*(TRIM('My Portfolio'!$S$7:$S$106)&lt;&gt;"")*('My Portfolio'!$T$7:$T$106="")*'My Portfolio'!$N$7:$N$106*'My Portfolio'!$F$7:$F$106)</f>
        <v/>
      </c>
      <c r="C10" s="45">
        <f>SUMPRODUCT(('My Portfolio'!$J$7:$J$106&gt;=$A10)*('My Portfolio'!$J$7:$J$106&lt;=EOMONTH($A10,0))*('My Portfolio'!$C$7:$C$106="Call")*'My Portfolio'!$G$7:$G$106*'My Portfolio'!$F$7:$F$106)-SUMPRODUCT(('My Portfolio'!$M$7:$M$106&gt;=$A10)*('My Portfolio'!$M$7:$M$106&lt;=EOMONTH($A10,0))*('My Portfolio'!$C$7:$C$106="Call")*(TRIM('My Portfolio'!$S$7:$S$106)&lt;&gt;"")*('My Portfolio'!$T$7:$T$106="")*'My Portfolio'!$N$7:$N$106*'My Portfolio'!$F$7:$F$106)</f>
        <v/>
      </c>
      <c r="D10" s="45">
        <f>SUMIFS('My Portfolio'!$T$7:$T$106,'My Portfolio'!$M$7:$M$106,"&gt;="&amp;$A10,'My Portfolio'!$M$7:$M$106,"&lt;="&amp;EOMONTH($A10,0),'My Portfolio'!$C$7:$C$106,"&lt;&gt;Call")</f>
        <v/>
      </c>
      <c r="E10" s="45">
        <f>SUMIFS('My Portfolio'!$T$7:$T$106,'My Portfolio'!$M$7:$M$106,"&gt;="&amp;$A10,'My Portfolio'!$M$7:$M$106,"&lt;="&amp;EOMONTH($A10,0),'My Portfolio'!$C$7:$C$106,"Call")</f>
        <v/>
      </c>
      <c r="F10" s="46">
        <f>D10+E10</f>
        <v/>
      </c>
      <c r="G10" s="45">
        <f>G9+F10</f>
        <v/>
      </c>
      <c r="H10" s="47">
        <f>COUNTIFS('My Portfolio'!$M$7:$M$106,"&gt;="&amp;$A10,'My Portfolio'!$M$7:$M$106,"&lt;="&amp;EOMONTH($A10,0),'My Portfolio'!$T$7:$T$106,"&gt;0")+COUNTIFS('My Portfolio'!$M$7:$M$106,"&gt;="&amp;$A10,'My Portfolio'!$M$7:$M$106,"&lt;="&amp;EOMONTH($A10,0),'My Portfolio'!$T$7:$T$106,"&lt;=0")</f>
        <v/>
      </c>
      <c r="I10" s="47">
        <f>COUNTIFS('My Portfolio'!$M$7:$M$106,"&gt;="&amp;$A10,'My Portfolio'!$M$7:$M$106,"&lt;="&amp;EOMONTH($A10,0),'My Portfolio'!$T$7:$T$106,"&gt;0")</f>
        <v/>
      </c>
      <c r="J10" s="48">
        <f>'My Portfolio'!$I$3</f>
        <v/>
      </c>
      <c r="K10" s="45">
        <f>F10-J10</f>
        <v/>
      </c>
      <c r="L10" s="49">
        <f>IF($A10&gt;TODAY(),"upcoming",IF(F10&gt;=J10,"✓ target met",IF($A10=DATE(YEAR(TODAY()),MONTH(TODAY()),1),"in progress","below target")))</f>
        <v/>
      </c>
    </row>
    <row r="11">
      <c r="A11" s="50" t="n">
        <v>46174</v>
      </c>
      <c r="B11" s="51">
        <f>SUMPRODUCT(('My Portfolio'!$J$7:$J$106&gt;=$A11)*('My Portfolio'!$J$7:$J$106&lt;=EOMONTH($A11,0))*('My Portfolio'!$C$7:$C$106&lt;&gt;"Call")*'My Portfolio'!$G$7:$G$106*'My Portfolio'!$F$7:$F$106)-SUMPRODUCT(('My Portfolio'!$M$7:$M$106&gt;=$A11)*('My Portfolio'!$M$7:$M$106&lt;=EOMONTH($A11,0))*('My Portfolio'!$C$7:$C$106&lt;&gt;"Call")*(TRIM('My Portfolio'!$S$7:$S$106)&lt;&gt;"")*('My Portfolio'!$T$7:$T$106="")*'My Portfolio'!$N$7:$N$106*'My Portfolio'!$F$7:$F$106)</f>
        <v/>
      </c>
      <c r="C11" s="51">
        <f>SUMPRODUCT(('My Portfolio'!$J$7:$J$106&gt;=$A11)*('My Portfolio'!$J$7:$J$106&lt;=EOMONTH($A11,0))*('My Portfolio'!$C$7:$C$106="Call")*'My Portfolio'!$G$7:$G$106*'My Portfolio'!$F$7:$F$106)-SUMPRODUCT(('My Portfolio'!$M$7:$M$106&gt;=$A11)*('My Portfolio'!$M$7:$M$106&lt;=EOMONTH($A11,0))*('My Portfolio'!$C$7:$C$106="Call")*(TRIM('My Portfolio'!$S$7:$S$106)&lt;&gt;"")*('My Portfolio'!$T$7:$T$106="")*'My Portfolio'!$N$7:$N$106*'My Portfolio'!$F$7:$F$106)</f>
        <v/>
      </c>
      <c r="D11" s="51">
        <f>SUMIFS('My Portfolio'!$T$7:$T$106,'My Portfolio'!$M$7:$M$106,"&gt;="&amp;$A11,'My Portfolio'!$M$7:$M$106,"&lt;="&amp;EOMONTH($A11,0),'My Portfolio'!$C$7:$C$106,"&lt;&gt;Call")</f>
        <v/>
      </c>
      <c r="E11" s="51">
        <f>SUMIFS('My Portfolio'!$T$7:$T$106,'My Portfolio'!$M$7:$M$106,"&gt;="&amp;$A11,'My Portfolio'!$M$7:$M$106,"&lt;="&amp;EOMONTH($A11,0),'My Portfolio'!$C$7:$C$106,"Call")</f>
        <v/>
      </c>
      <c r="F11" s="52">
        <f>D11+E11</f>
        <v/>
      </c>
      <c r="G11" s="51">
        <f>G10+F11</f>
        <v/>
      </c>
      <c r="H11" s="53">
        <f>COUNTIFS('My Portfolio'!$M$7:$M$106,"&gt;="&amp;$A11,'My Portfolio'!$M$7:$M$106,"&lt;="&amp;EOMONTH($A11,0),'My Portfolio'!$T$7:$T$106,"&gt;0")+COUNTIFS('My Portfolio'!$M$7:$M$106,"&gt;="&amp;$A11,'My Portfolio'!$M$7:$M$106,"&lt;="&amp;EOMONTH($A11,0),'My Portfolio'!$T$7:$T$106,"&lt;=0")</f>
        <v/>
      </c>
      <c r="I11" s="53">
        <f>COUNTIFS('My Portfolio'!$M$7:$M$106,"&gt;="&amp;$A11,'My Portfolio'!$M$7:$M$106,"&lt;="&amp;EOMONTH($A11,0),'My Portfolio'!$T$7:$T$106,"&gt;0")</f>
        <v/>
      </c>
      <c r="J11" s="54">
        <f>'My Portfolio'!$I$3</f>
        <v/>
      </c>
      <c r="K11" s="51">
        <f>F11-J11</f>
        <v/>
      </c>
      <c r="L11" s="55">
        <f>IF($A11&gt;TODAY(),"upcoming",IF(F11&gt;=J11,"✓ target met",IF($A11=DATE(YEAR(TODAY()),MONTH(TODAY()),1),"in progress","below target")))</f>
        <v/>
      </c>
    </row>
    <row r="12">
      <c r="A12" s="56" t="inlineStr">
        <is>
          <t>Q2 2026</t>
        </is>
      </c>
      <c r="B12" s="57">
        <f>B9+B10+B11</f>
        <v/>
      </c>
      <c r="C12" s="57">
        <f>C9+C10+C11</f>
        <v/>
      </c>
      <c r="D12" s="57">
        <f>D9+D10+D11</f>
        <v/>
      </c>
      <c r="E12" s="57">
        <f>E9+E10+E11</f>
        <v/>
      </c>
      <c r="F12" s="57">
        <f>F9+F10+F11</f>
        <v/>
      </c>
      <c r="G12" s="57">
        <f>G11</f>
        <v/>
      </c>
      <c r="H12" s="56">
        <f>H9+H10+H11</f>
        <v/>
      </c>
      <c r="I12" s="56">
        <f>I9+I10+I11</f>
        <v/>
      </c>
      <c r="J12" s="57">
        <f>IF(A9&lt;=TODAY(),J9,0)+IF(A10&lt;=TODAY(),J10,0)+IF(A11&lt;=TODAY(),J11,0)</f>
        <v/>
      </c>
      <c r="K12" s="57">
        <f>F12-J12</f>
        <v/>
      </c>
      <c r="L12" s="56">
        <f>IF(A9&gt;TODAY(),"upcoming",IF(F12&gt;=J12,"✓ target met",IF(A11&gt;=DATE(YEAR(TODAY()),MONTH(TODAY()),1),"in progress","below target")))</f>
        <v/>
      </c>
    </row>
    <row r="13">
      <c r="A13" s="44" t="n">
        <v>46204</v>
      </c>
      <c r="B13" s="45">
        <f>SUMPRODUCT(('My Portfolio'!$J$7:$J$106&gt;=$A13)*('My Portfolio'!$J$7:$J$106&lt;=EOMONTH($A13,0))*('My Portfolio'!$C$7:$C$106&lt;&gt;"Call")*'My Portfolio'!$G$7:$G$106*'My Portfolio'!$F$7:$F$106)-SUMPRODUCT(('My Portfolio'!$M$7:$M$106&gt;=$A13)*('My Portfolio'!$M$7:$M$106&lt;=EOMONTH($A13,0))*('My Portfolio'!$C$7:$C$106&lt;&gt;"Call")*(TRIM('My Portfolio'!$S$7:$S$106)&lt;&gt;"")*('My Portfolio'!$T$7:$T$106="")*'My Portfolio'!$N$7:$N$106*'My Portfolio'!$F$7:$F$106)</f>
        <v/>
      </c>
      <c r="C13" s="45">
        <f>SUMPRODUCT(('My Portfolio'!$J$7:$J$106&gt;=$A13)*('My Portfolio'!$J$7:$J$106&lt;=EOMONTH($A13,0))*('My Portfolio'!$C$7:$C$106="Call")*'My Portfolio'!$G$7:$G$106*'My Portfolio'!$F$7:$F$106)-SUMPRODUCT(('My Portfolio'!$M$7:$M$106&gt;=$A13)*('My Portfolio'!$M$7:$M$106&lt;=EOMONTH($A13,0))*('My Portfolio'!$C$7:$C$106="Call")*(TRIM('My Portfolio'!$S$7:$S$106)&lt;&gt;"")*('My Portfolio'!$T$7:$T$106="")*'My Portfolio'!$N$7:$N$106*'My Portfolio'!$F$7:$F$106)</f>
        <v/>
      </c>
      <c r="D13" s="45">
        <f>SUMIFS('My Portfolio'!$T$7:$T$106,'My Portfolio'!$M$7:$M$106,"&gt;="&amp;$A13,'My Portfolio'!$M$7:$M$106,"&lt;="&amp;EOMONTH($A13,0),'My Portfolio'!$C$7:$C$106,"&lt;&gt;Call")</f>
        <v/>
      </c>
      <c r="E13" s="45">
        <f>SUMIFS('My Portfolio'!$T$7:$T$106,'My Portfolio'!$M$7:$M$106,"&gt;="&amp;$A13,'My Portfolio'!$M$7:$M$106,"&lt;="&amp;EOMONTH($A13,0),'My Portfolio'!$C$7:$C$106,"Call")</f>
        <v/>
      </c>
      <c r="F13" s="46">
        <f>D13+E13</f>
        <v/>
      </c>
      <c r="G13" s="45">
        <f>G11+F13</f>
        <v/>
      </c>
      <c r="H13" s="47">
        <f>COUNTIFS('My Portfolio'!$M$7:$M$106,"&gt;="&amp;$A13,'My Portfolio'!$M$7:$M$106,"&lt;="&amp;EOMONTH($A13,0),'My Portfolio'!$T$7:$T$106,"&gt;0")+COUNTIFS('My Portfolio'!$M$7:$M$106,"&gt;="&amp;$A13,'My Portfolio'!$M$7:$M$106,"&lt;="&amp;EOMONTH($A13,0),'My Portfolio'!$T$7:$T$106,"&lt;=0")</f>
        <v/>
      </c>
      <c r="I13" s="47">
        <f>COUNTIFS('My Portfolio'!$M$7:$M$106,"&gt;="&amp;$A13,'My Portfolio'!$M$7:$M$106,"&lt;="&amp;EOMONTH($A13,0),'My Portfolio'!$T$7:$T$106,"&gt;0")</f>
        <v/>
      </c>
      <c r="J13" s="48">
        <f>'My Portfolio'!$I$3</f>
        <v/>
      </c>
      <c r="K13" s="45">
        <f>F13-J13</f>
        <v/>
      </c>
      <c r="L13" s="49">
        <f>IF($A13&gt;TODAY(),"upcoming",IF(F13&gt;=J13,"✓ target met",IF($A13=DATE(YEAR(TODAY()),MONTH(TODAY()),1),"in progress","below target")))</f>
        <v/>
      </c>
    </row>
    <row r="14">
      <c r="A14" s="50" t="n">
        <v>46235</v>
      </c>
      <c r="B14" s="51">
        <f>SUMPRODUCT(('My Portfolio'!$J$7:$J$106&gt;=$A14)*('My Portfolio'!$J$7:$J$106&lt;=EOMONTH($A14,0))*('My Portfolio'!$C$7:$C$106&lt;&gt;"Call")*'My Portfolio'!$G$7:$G$106*'My Portfolio'!$F$7:$F$106)-SUMPRODUCT(('My Portfolio'!$M$7:$M$106&gt;=$A14)*('My Portfolio'!$M$7:$M$106&lt;=EOMONTH($A14,0))*('My Portfolio'!$C$7:$C$106&lt;&gt;"Call")*(TRIM('My Portfolio'!$S$7:$S$106)&lt;&gt;"")*('My Portfolio'!$T$7:$T$106="")*'My Portfolio'!$N$7:$N$106*'My Portfolio'!$F$7:$F$106)</f>
        <v/>
      </c>
      <c r="C14" s="51">
        <f>SUMPRODUCT(('My Portfolio'!$J$7:$J$106&gt;=$A14)*('My Portfolio'!$J$7:$J$106&lt;=EOMONTH($A14,0))*('My Portfolio'!$C$7:$C$106="Call")*'My Portfolio'!$G$7:$G$106*'My Portfolio'!$F$7:$F$106)-SUMPRODUCT(('My Portfolio'!$M$7:$M$106&gt;=$A14)*('My Portfolio'!$M$7:$M$106&lt;=EOMONTH($A14,0))*('My Portfolio'!$C$7:$C$106="Call")*(TRIM('My Portfolio'!$S$7:$S$106)&lt;&gt;"")*('My Portfolio'!$T$7:$T$106="")*'My Portfolio'!$N$7:$N$106*'My Portfolio'!$F$7:$F$106)</f>
        <v/>
      </c>
      <c r="D14" s="51">
        <f>SUMIFS('My Portfolio'!$T$7:$T$106,'My Portfolio'!$M$7:$M$106,"&gt;="&amp;$A14,'My Portfolio'!$M$7:$M$106,"&lt;="&amp;EOMONTH($A14,0),'My Portfolio'!$C$7:$C$106,"&lt;&gt;Call")</f>
        <v/>
      </c>
      <c r="E14" s="51">
        <f>SUMIFS('My Portfolio'!$T$7:$T$106,'My Portfolio'!$M$7:$M$106,"&gt;="&amp;$A14,'My Portfolio'!$M$7:$M$106,"&lt;="&amp;EOMONTH($A14,0),'My Portfolio'!$C$7:$C$106,"Call")</f>
        <v/>
      </c>
      <c r="F14" s="52">
        <f>D14+E14</f>
        <v/>
      </c>
      <c r="G14" s="51">
        <f>G13+F14</f>
        <v/>
      </c>
      <c r="H14" s="53">
        <f>COUNTIFS('My Portfolio'!$M$7:$M$106,"&gt;="&amp;$A14,'My Portfolio'!$M$7:$M$106,"&lt;="&amp;EOMONTH($A14,0),'My Portfolio'!$T$7:$T$106,"&gt;0")+COUNTIFS('My Portfolio'!$M$7:$M$106,"&gt;="&amp;$A14,'My Portfolio'!$M$7:$M$106,"&lt;="&amp;EOMONTH($A14,0),'My Portfolio'!$T$7:$T$106,"&lt;=0")</f>
        <v/>
      </c>
      <c r="I14" s="53">
        <f>COUNTIFS('My Portfolio'!$M$7:$M$106,"&gt;="&amp;$A14,'My Portfolio'!$M$7:$M$106,"&lt;="&amp;EOMONTH($A14,0),'My Portfolio'!$T$7:$T$106,"&gt;0")</f>
        <v/>
      </c>
      <c r="J14" s="54">
        <f>'My Portfolio'!$I$3</f>
        <v/>
      </c>
      <c r="K14" s="51">
        <f>F14-J14</f>
        <v/>
      </c>
      <c r="L14" s="55">
        <f>IF($A14&gt;TODAY(),"upcoming",IF(F14&gt;=J14,"✓ target met",IF($A14=DATE(YEAR(TODAY()),MONTH(TODAY()),1),"in progress","below target")))</f>
        <v/>
      </c>
    </row>
    <row r="15">
      <c r="A15" s="44" t="n">
        <v>46266</v>
      </c>
      <c r="B15" s="45">
        <f>SUMPRODUCT(('My Portfolio'!$J$7:$J$106&gt;=$A15)*('My Portfolio'!$J$7:$J$106&lt;=EOMONTH($A15,0))*('My Portfolio'!$C$7:$C$106&lt;&gt;"Call")*'My Portfolio'!$G$7:$G$106*'My Portfolio'!$F$7:$F$106)-SUMPRODUCT(('My Portfolio'!$M$7:$M$106&gt;=$A15)*('My Portfolio'!$M$7:$M$106&lt;=EOMONTH($A15,0))*('My Portfolio'!$C$7:$C$106&lt;&gt;"Call")*(TRIM('My Portfolio'!$S$7:$S$106)&lt;&gt;"")*('My Portfolio'!$T$7:$T$106="")*'My Portfolio'!$N$7:$N$106*'My Portfolio'!$F$7:$F$106)</f>
        <v/>
      </c>
      <c r="C15" s="45">
        <f>SUMPRODUCT(('My Portfolio'!$J$7:$J$106&gt;=$A15)*('My Portfolio'!$J$7:$J$106&lt;=EOMONTH($A15,0))*('My Portfolio'!$C$7:$C$106="Call")*'My Portfolio'!$G$7:$G$106*'My Portfolio'!$F$7:$F$106)-SUMPRODUCT(('My Portfolio'!$M$7:$M$106&gt;=$A15)*('My Portfolio'!$M$7:$M$106&lt;=EOMONTH($A15,0))*('My Portfolio'!$C$7:$C$106="Call")*(TRIM('My Portfolio'!$S$7:$S$106)&lt;&gt;"")*('My Portfolio'!$T$7:$T$106="")*'My Portfolio'!$N$7:$N$106*'My Portfolio'!$F$7:$F$106)</f>
        <v/>
      </c>
      <c r="D15" s="45">
        <f>SUMIFS('My Portfolio'!$T$7:$T$106,'My Portfolio'!$M$7:$M$106,"&gt;="&amp;$A15,'My Portfolio'!$M$7:$M$106,"&lt;="&amp;EOMONTH($A15,0),'My Portfolio'!$C$7:$C$106,"&lt;&gt;Call")</f>
        <v/>
      </c>
      <c r="E15" s="45">
        <f>SUMIFS('My Portfolio'!$T$7:$T$106,'My Portfolio'!$M$7:$M$106,"&gt;="&amp;$A15,'My Portfolio'!$M$7:$M$106,"&lt;="&amp;EOMONTH($A15,0),'My Portfolio'!$C$7:$C$106,"Call")</f>
        <v/>
      </c>
      <c r="F15" s="46">
        <f>D15+E15</f>
        <v/>
      </c>
      <c r="G15" s="45">
        <f>G14+F15</f>
        <v/>
      </c>
      <c r="H15" s="47">
        <f>COUNTIFS('My Portfolio'!$M$7:$M$106,"&gt;="&amp;$A15,'My Portfolio'!$M$7:$M$106,"&lt;="&amp;EOMONTH($A15,0),'My Portfolio'!$T$7:$T$106,"&gt;0")+COUNTIFS('My Portfolio'!$M$7:$M$106,"&gt;="&amp;$A15,'My Portfolio'!$M$7:$M$106,"&lt;="&amp;EOMONTH($A15,0),'My Portfolio'!$T$7:$T$106,"&lt;=0")</f>
        <v/>
      </c>
      <c r="I15" s="47">
        <f>COUNTIFS('My Portfolio'!$M$7:$M$106,"&gt;="&amp;$A15,'My Portfolio'!$M$7:$M$106,"&lt;="&amp;EOMONTH($A15,0),'My Portfolio'!$T$7:$T$106,"&gt;0")</f>
        <v/>
      </c>
      <c r="J15" s="48">
        <f>'My Portfolio'!$I$3</f>
        <v/>
      </c>
      <c r="K15" s="45">
        <f>F15-J15</f>
        <v/>
      </c>
      <c r="L15" s="49">
        <f>IF($A15&gt;TODAY(),"upcoming",IF(F15&gt;=J15,"✓ target met",IF($A15=DATE(YEAR(TODAY()),MONTH(TODAY()),1),"in progress","below target")))</f>
        <v/>
      </c>
    </row>
    <row r="16">
      <c r="A16" s="56" t="inlineStr">
        <is>
          <t>Q3 2026</t>
        </is>
      </c>
      <c r="B16" s="57">
        <f>B13+B14+B15</f>
        <v/>
      </c>
      <c r="C16" s="57">
        <f>C13+C14+C15</f>
        <v/>
      </c>
      <c r="D16" s="57">
        <f>D13+D14+D15</f>
        <v/>
      </c>
      <c r="E16" s="57">
        <f>E13+E14+E15</f>
        <v/>
      </c>
      <c r="F16" s="57">
        <f>F13+F14+F15</f>
        <v/>
      </c>
      <c r="G16" s="57">
        <f>G15</f>
        <v/>
      </c>
      <c r="H16" s="56">
        <f>H13+H14+H15</f>
        <v/>
      </c>
      <c r="I16" s="56">
        <f>I13+I14+I15</f>
        <v/>
      </c>
      <c r="J16" s="57">
        <f>IF(A13&lt;=TODAY(),J13,0)+IF(A14&lt;=TODAY(),J14,0)+IF(A15&lt;=TODAY(),J15,0)</f>
        <v/>
      </c>
      <c r="K16" s="57">
        <f>F16-J16</f>
        <v/>
      </c>
      <c r="L16" s="56">
        <f>IF(A13&gt;TODAY(),"upcoming",IF(F16&gt;=J16,"✓ target met",IF(A15&gt;=DATE(YEAR(TODAY()),MONTH(TODAY()),1),"in progress","below target")))</f>
        <v/>
      </c>
    </row>
    <row r="17">
      <c r="A17" s="50" t="n">
        <v>46296</v>
      </c>
      <c r="B17" s="51">
        <f>SUMPRODUCT(('My Portfolio'!$J$7:$J$106&gt;=$A17)*('My Portfolio'!$J$7:$J$106&lt;=EOMONTH($A17,0))*('My Portfolio'!$C$7:$C$106&lt;&gt;"Call")*'My Portfolio'!$G$7:$G$106*'My Portfolio'!$F$7:$F$106)-SUMPRODUCT(('My Portfolio'!$M$7:$M$106&gt;=$A17)*('My Portfolio'!$M$7:$M$106&lt;=EOMONTH($A17,0))*('My Portfolio'!$C$7:$C$106&lt;&gt;"Call")*(TRIM('My Portfolio'!$S$7:$S$106)&lt;&gt;"")*('My Portfolio'!$T$7:$T$106="")*'My Portfolio'!$N$7:$N$106*'My Portfolio'!$F$7:$F$106)</f>
        <v/>
      </c>
      <c r="C17" s="51">
        <f>SUMPRODUCT(('My Portfolio'!$J$7:$J$106&gt;=$A17)*('My Portfolio'!$J$7:$J$106&lt;=EOMONTH($A17,0))*('My Portfolio'!$C$7:$C$106="Call")*'My Portfolio'!$G$7:$G$106*'My Portfolio'!$F$7:$F$106)-SUMPRODUCT(('My Portfolio'!$M$7:$M$106&gt;=$A17)*('My Portfolio'!$M$7:$M$106&lt;=EOMONTH($A17,0))*('My Portfolio'!$C$7:$C$106="Call")*(TRIM('My Portfolio'!$S$7:$S$106)&lt;&gt;"")*('My Portfolio'!$T$7:$T$106="")*'My Portfolio'!$N$7:$N$106*'My Portfolio'!$F$7:$F$106)</f>
        <v/>
      </c>
      <c r="D17" s="51">
        <f>SUMIFS('My Portfolio'!$T$7:$T$106,'My Portfolio'!$M$7:$M$106,"&gt;="&amp;$A17,'My Portfolio'!$M$7:$M$106,"&lt;="&amp;EOMONTH($A17,0),'My Portfolio'!$C$7:$C$106,"&lt;&gt;Call")</f>
        <v/>
      </c>
      <c r="E17" s="51">
        <f>SUMIFS('My Portfolio'!$T$7:$T$106,'My Portfolio'!$M$7:$M$106,"&gt;="&amp;$A17,'My Portfolio'!$M$7:$M$106,"&lt;="&amp;EOMONTH($A17,0),'My Portfolio'!$C$7:$C$106,"Call")</f>
        <v/>
      </c>
      <c r="F17" s="52">
        <f>D17+E17</f>
        <v/>
      </c>
      <c r="G17" s="51">
        <f>G15+F17</f>
        <v/>
      </c>
      <c r="H17" s="53">
        <f>COUNTIFS('My Portfolio'!$M$7:$M$106,"&gt;="&amp;$A17,'My Portfolio'!$M$7:$M$106,"&lt;="&amp;EOMONTH($A17,0),'My Portfolio'!$T$7:$T$106,"&gt;0")+COUNTIFS('My Portfolio'!$M$7:$M$106,"&gt;="&amp;$A17,'My Portfolio'!$M$7:$M$106,"&lt;="&amp;EOMONTH($A17,0),'My Portfolio'!$T$7:$T$106,"&lt;=0")</f>
        <v/>
      </c>
      <c r="I17" s="53">
        <f>COUNTIFS('My Portfolio'!$M$7:$M$106,"&gt;="&amp;$A17,'My Portfolio'!$M$7:$M$106,"&lt;="&amp;EOMONTH($A17,0),'My Portfolio'!$T$7:$T$106,"&gt;0")</f>
        <v/>
      </c>
      <c r="J17" s="54">
        <f>'My Portfolio'!$I$3</f>
        <v/>
      </c>
      <c r="K17" s="51">
        <f>F17-J17</f>
        <v/>
      </c>
      <c r="L17" s="55">
        <f>IF($A17&gt;TODAY(),"upcoming",IF(F17&gt;=J17,"✓ target met",IF($A17=DATE(YEAR(TODAY()),MONTH(TODAY()),1),"in progress","below target")))</f>
        <v/>
      </c>
    </row>
    <row r="18">
      <c r="A18" s="44" t="n">
        <v>46327</v>
      </c>
      <c r="B18" s="45">
        <f>SUMPRODUCT(('My Portfolio'!$J$7:$J$106&gt;=$A18)*('My Portfolio'!$J$7:$J$106&lt;=EOMONTH($A18,0))*('My Portfolio'!$C$7:$C$106&lt;&gt;"Call")*'My Portfolio'!$G$7:$G$106*'My Portfolio'!$F$7:$F$106)-SUMPRODUCT(('My Portfolio'!$M$7:$M$106&gt;=$A18)*('My Portfolio'!$M$7:$M$106&lt;=EOMONTH($A18,0))*('My Portfolio'!$C$7:$C$106&lt;&gt;"Call")*(TRIM('My Portfolio'!$S$7:$S$106)&lt;&gt;"")*('My Portfolio'!$T$7:$T$106="")*'My Portfolio'!$N$7:$N$106*'My Portfolio'!$F$7:$F$106)</f>
        <v/>
      </c>
      <c r="C18" s="45">
        <f>SUMPRODUCT(('My Portfolio'!$J$7:$J$106&gt;=$A18)*('My Portfolio'!$J$7:$J$106&lt;=EOMONTH($A18,0))*('My Portfolio'!$C$7:$C$106="Call")*'My Portfolio'!$G$7:$G$106*'My Portfolio'!$F$7:$F$106)-SUMPRODUCT(('My Portfolio'!$M$7:$M$106&gt;=$A18)*('My Portfolio'!$M$7:$M$106&lt;=EOMONTH($A18,0))*('My Portfolio'!$C$7:$C$106="Call")*(TRIM('My Portfolio'!$S$7:$S$106)&lt;&gt;"")*('My Portfolio'!$T$7:$T$106="")*'My Portfolio'!$N$7:$N$106*'My Portfolio'!$F$7:$F$106)</f>
        <v/>
      </c>
      <c r="D18" s="45">
        <f>SUMIFS('My Portfolio'!$T$7:$T$106,'My Portfolio'!$M$7:$M$106,"&gt;="&amp;$A18,'My Portfolio'!$M$7:$M$106,"&lt;="&amp;EOMONTH($A18,0),'My Portfolio'!$C$7:$C$106,"&lt;&gt;Call")</f>
        <v/>
      </c>
      <c r="E18" s="45">
        <f>SUMIFS('My Portfolio'!$T$7:$T$106,'My Portfolio'!$M$7:$M$106,"&gt;="&amp;$A18,'My Portfolio'!$M$7:$M$106,"&lt;="&amp;EOMONTH($A18,0),'My Portfolio'!$C$7:$C$106,"Call")</f>
        <v/>
      </c>
      <c r="F18" s="46">
        <f>D18+E18</f>
        <v/>
      </c>
      <c r="G18" s="45">
        <f>G17+F18</f>
        <v/>
      </c>
      <c r="H18" s="47">
        <f>COUNTIFS('My Portfolio'!$M$7:$M$106,"&gt;="&amp;$A18,'My Portfolio'!$M$7:$M$106,"&lt;="&amp;EOMONTH($A18,0),'My Portfolio'!$T$7:$T$106,"&gt;0")+COUNTIFS('My Portfolio'!$M$7:$M$106,"&gt;="&amp;$A18,'My Portfolio'!$M$7:$M$106,"&lt;="&amp;EOMONTH($A18,0),'My Portfolio'!$T$7:$T$106,"&lt;=0")</f>
        <v/>
      </c>
      <c r="I18" s="47">
        <f>COUNTIFS('My Portfolio'!$M$7:$M$106,"&gt;="&amp;$A18,'My Portfolio'!$M$7:$M$106,"&lt;="&amp;EOMONTH($A18,0),'My Portfolio'!$T$7:$T$106,"&gt;0")</f>
        <v/>
      </c>
      <c r="J18" s="48">
        <f>'My Portfolio'!$I$3</f>
        <v/>
      </c>
      <c r="K18" s="45">
        <f>F18-J18</f>
        <v/>
      </c>
      <c r="L18" s="49">
        <f>IF($A18&gt;TODAY(),"upcoming",IF(F18&gt;=J18,"✓ target met",IF($A18=DATE(YEAR(TODAY()),MONTH(TODAY()),1),"in progress","below target")))</f>
        <v/>
      </c>
    </row>
    <row r="19">
      <c r="A19" s="50" t="n">
        <v>46357</v>
      </c>
      <c r="B19" s="51">
        <f>SUMPRODUCT(('My Portfolio'!$J$7:$J$106&gt;=$A19)*('My Portfolio'!$J$7:$J$106&lt;=EOMONTH($A19,0))*('My Portfolio'!$C$7:$C$106&lt;&gt;"Call")*'My Portfolio'!$G$7:$G$106*'My Portfolio'!$F$7:$F$106)-SUMPRODUCT(('My Portfolio'!$M$7:$M$106&gt;=$A19)*('My Portfolio'!$M$7:$M$106&lt;=EOMONTH($A19,0))*('My Portfolio'!$C$7:$C$106&lt;&gt;"Call")*(TRIM('My Portfolio'!$S$7:$S$106)&lt;&gt;"")*('My Portfolio'!$T$7:$T$106="")*'My Portfolio'!$N$7:$N$106*'My Portfolio'!$F$7:$F$106)</f>
        <v/>
      </c>
      <c r="C19" s="51">
        <f>SUMPRODUCT(('My Portfolio'!$J$7:$J$106&gt;=$A19)*('My Portfolio'!$J$7:$J$106&lt;=EOMONTH($A19,0))*('My Portfolio'!$C$7:$C$106="Call")*'My Portfolio'!$G$7:$G$106*'My Portfolio'!$F$7:$F$106)-SUMPRODUCT(('My Portfolio'!$M$7:$M$106&gt;=$A19)*('My Portfolio'!$M$7:$M$106&lt;=EOMONTH($A19,0))*('My Portfolio'!$C$7:$C$106="Call")*(TRIM('My Portfolio'!$S$7:$S$106)&lt;&gt;"")*('My Portfolio'!$T$7:$T$106="")*'My Portfolio'!$N$7:$N$106*'My Portfolio'!$F$7:$F$106)</f>
        <v/>
      </c>
      <c r="D19" s="51">
        <f>SUMIFS('My Portfolio'!$T$7:$T$106,'My Portfolio'!$M$7:$M$106,"&gt;="&amp;$A19,'My Portfolio'!$M$7:$M$106,"&lt;="&amp;EOMONTH($A19,0),'My Portfolio'!$C$7:$C$106,"&lt;&gt;Call")</f>
        <v/>
      </c>
      <c r="E19" s="51">
        <f>SUMIFS('My Portfolio'!$T$7:$T$106,'My Portfolio'!$M$7:$M$106,"&gt;="&amp;$A19,'My Portfolio'!$M$7:$M$106,"&lt;="&amp;EOMONTH($A19,0),'My Portfolio'!$C$7:$C$106,"Call")</f>
        <v/>
      </c>
      <c r="F19" s="52">
        <f>D19+E19</f>
        <v/>
      </c>
      <c r="G19" s="51">
        <f>G18+F19</f>
        <v/>
      </c>
      <c r="H19" s="53">
        <f>COUNTIFS('My Portfolio'!$M$7:$M$106,"&gt;="&amp;$A19,'My Portfolio'!$M$7:$M$106,"&lt;="&amp;EOMONTH($A19,0),'My Portfolio'!$T$7:$T$106,"&gt;0")+COUNTIFS('My Portfolio'!$M$7:$M$106,"&gt;="&amp;$A19,'My Portfolio'!$M$7:$M$106,"&lt;="&amp;EOMONTH($A19,0),'My Portfolio'!$T$7:$T$106,"&lt;=0")</f>
        <v/>
      </c>
      <c r="I19" s="53">
        <f>COUNTIFS('My Portfolio'!$M$7:$M$106,"&gt;="&amp;$A19,'My Portfolio'!$M$7:$M$106,"&lt;="&amp;EOMONTH($A19,0),'My Portfolio'!$T$7:$T$106,"&gt;0")</f>
        <v/>
      </c>
      <c r="J19" s="54">
        <f>'My Portfolio'!$I$3</f>
        <v/>
      </c>
      <c r="K19" s="51">
        <f>F19-J19</f>
        <v/>
      </c>
      <c r="L19" s="55">
        <f>IF($A19&gt;TODAY(),"upcoming",IF(F19&gt;=J19,"✓ target met",IF($A19=DATE(YEAR(TODAY()),MONTH(TODAY()),1),"in progress","below target")))</f>
        <v/>
      </c>
    </row>
    <row r="20">
      <c r="A20" s="56" t="inlineStr">
        <is>
          <t>Q4 2026</t>
        </is>
      </c>
      <c r="B20" s="57">
        <f>B17+B18+B19</f>
        <v/>
      </c>
      <c r="C20" s="57">
        <f>C17+C18+C19</f>
        <v/>
      </c>
      <c r="D20" s="57">
        <f>D17+D18+D19</f>
        <v/>
      </c>
      <c r="E20" s="57">
        <f>E17+E18+E19</f>
        <v/>
      </c>
      <c r="F20" s="57">
        <f>F17+F18+F19</f>
        <v/>
      </c>
      <c r="G20" s="57">
        <f>G19</f>
        <v/>
      </c>
      <c r="H20" s="56">
        <f>H17+H18+H19</f>
        <v/>
      </c>
      <c r="I20" s="56">
        <f>I17+I18+I19</f>
        <v/>
      </c>
      <c r="J20" s="57">
        <f>IF(A17&lt;=TODAY(),J17,0)+IF(A18&lt;=TODAY(),J18,0)+IF(A19&lt;=TODAY(),J19,0)</f>
        <v/>
      </c>
      <c r="K20" s="57">
        <f>F20-J20</f>
        <v/>
      </c>
      <c r="L20" s="56">
        <f>IF(A17&gt;TODAY(),"upcoming",IF(F20&gt;=J20,"✓ target met",IF(A19&gt;=DATE(YEAR(TODAY()),MONTH(TODAY()),1),"in progress","below target")))</f>
        <v/>
      </c>
    </row>
    <row r="21">
      <c r="A21" s="58" t="inlineStr">
        <is>
          <t>2026 YTD</t>
        </is>
      </c>
      <c r="B21" s="59">
        <f>B5+B6+B7+B9+B10+B11+B13+B14+B15+B17+B18+B19</f>
        <v/>
      </c>
      <c r="C21" s="59">
        <f>C5+C6+C7+C9+C10+C11+C13+C14+C15+C17+C18+C19</f>
        <v/>
      </c>
      <c r="D21" s="59">
        <f>D5+D6+D7+D9+D10+D11+D13+D14+D15+D17+D18+D19</f>
        <v/>
      </c>
      <c r="E21" s="59">
        <f>E5+E6+E7+E9+E10+E11+E13+E14+E15+E17+E18+E19</f>
        <v/>
      </c>
      <c r="F21" s="59">
        <f>F5+F6+F7+F9+F10+F11+F13+F14+F15+F17+F18+F19</f>
        <v/>
      </c>
      <c r="G21" s="59">
        <f>G19</f>
        <v/>
      </c>
      <c r="H21" s="60">
        <f>H5+H6+H7+H9+H10+H11+H13+H14+H15+H17+H18+H19</f>
        <v/>
      </c>
      <c r="I21" s="60">
        <f>I5+I6+I7+I9+I10+I11+I13+I14+I15+I17+I18+I19</f>
        <v/>
      </c>
      <c r="J21" s="59">
        <f>IF(A5&lt;=TODAY(),J5,0)+IF(A6&lt;=TODAY(),J6,0)+IF(A7&lt;=TODAY(),J7,0)+IF(A9&lt;=TODAY(),J9,0)+IF(A10&lt;=TODAY(),J10,0)+IF(A11&lt;=TODAY(),J11,0)+IF(A13&lt;=TODAY(),J13,0)+IF(A14&lt;=TODAY(),J14,0)+IF(A15&lt;=TODAY(),J15,0)+IF(A17&lt;=TODAY(),J17,0)+IF(A18&lt;=TODAY(),J18,0)+IF(A19&lt;=TODAY(),J19,0)</f>
        <v/>
      </c>
      <c r="K21" s="59">
        <f>F21-J21</f>
        <v/>
      </c>
      <c r="L21" s="60">
        <f>IF(A5&gt;TODAY(),"upcoming",IF(F21&gt;=J21,"✓ target met",IF(A19&gt;=DATE(YEAR(TODAY()),MONTH(TODAY()),1),"in progress","below target")))</f>
        <v/>
      </c>
    </row>
    <row r="22">
      <c r="A22" s="44" t="n">
        <v>46388</v>
      </c>
      <c r="B22" s="45">
        <f>SUMPRODUCT(('My Portfolio'!$J$7:$J$106&gt;=$A22)*('My Portfolio'!$J$7:$J$106&lt;=EOMONTH($A22,0))*('My Portfolio'!$C$7:$C$106&lt;&gt;"Call")*'My Portfolio'!$G$7:$G$106*'My Portfolio'!$F$7:$F$106)-SUMPRODUCT(('My Portfolio'!$M$7:$M$106&gt;=$A22)*('My Portfolio'!$M$7:$M$106&lt;=EOMONTH($A22,0))*('My Portfolio'!$C$7:$C$106&lt;&gt;"Call")*(TRIM('My Portfolio'!$S$7:$S$106)&lt;&gt;"")*('My Portfolio'!$T$7:$T$106="")*'My Portfolio'!$N$7:$N$106*'My Portfolio'!$F$7:$F$106)</f>
        <v/>
      </c>
      <c r="C22" s="45">
        <f>SUMPRODUCT(('My Portfolio'!$J$7:$J$106&gt;=$A22)*('My Portfolio'!$J$7:$J$106&lt;=EOMONTH($A22,0))*('My Portfolio'!$C$7:$C$106="Call")*'My Portfolio'!$G$7:$G$106*'My Portfolio'!$F$7:$F$106)-SUMPRODUCT(('My Portfolio'!$M$7:$M$106&gt;=$A22)*('My Portfolio'!$M$7:$M$106&lt;=EOMONTH($A22,0))*('My Portfolio'!$C$7:$C$106="Call")*(TRIM('My Portfolio'!$S$7:$S$106)&lt;&gt;"")*('My Portfolio'!$T$7:$T$106="")*'My Portfolio'!$N$7:$N$106*'My Portfolio'!$F$7:$F$106)</f>
        <v/>
      </c>
      <c r="D22" s="45">
        <f>SUMIFS('My Portfolio'!$T$7:$T$106,'My Portfolio'!$M$7:$M$106,"&gt;="&amp;$A22,'My Portfolio'!$M$7:$M$106,"&lt;="&amp;EOMONTH($A22,0),'My Portfolio'!$C$7:$C$106,"&lt;&gt;Call")</f>
        <v/>
      </c>
      <c r="E22" s="45">
        <f>SUMIFS('My Portfolio'!$T$7:$T$106,'My Portfolio'!$M$7:$M$106,"&gt;="&amp;$A22,'My Portfolio'!$M$7:$M$106,"&lt;="&amp;EOMONTH($A22,0),'My Portfolio'!$C$7:$C$106,"Call")</f>
        <v/>
      </c>
      <c r="F22" s="46">
        <f>D22+E22</f>
        <v/>
      </c>
      <c r="G22" s="45">
        <f>F22</f>
        <v/>
      </c>
      <c r="H22" s="47">
        <f>COUNTIFS('My Portfolio'!$M$7:$M$106,"&gt;="&amp;$A22,'My Portfolio'!$M$7:$M$106,"&lt;="&amp;EOMONTH($A22,0),'My Portfolio'!$T$7:$T$106,"&gt;0")+COUNTIFS('My Portfolio'!$M$7:$M$106,"&gt;="&amp;$A22,'My Portfolio'!$M$7:$M$106,"&lt;="&amp;EOMONTH($A22,0),'My Portfolio'!$T$7:$T$106,"&lt;=0")</f>
        <v/>
      </c>
      <c r="I22" s="47">
        <f>COUNTIFS('My Portfolio'!$M$7:$M$106,"&gt;="&amp;$A22,'My Portfolio'!$M$7:$M$106,"&lt;="&amp;EOMONTH($A22,0),'My Portfolio'!$T$7:$T$106,"&gt;0")</f>
        <v/>
      </c>
      <c r="J22" s="48">
        <f>'My Portfolio'!$I$3</f>
        <v/>
      </c>
      <c r="K22" s="45">
        <f>F22-J22</f>
        <v/>
      </c>
      <c r="L22" s="49">
        <f>IF($A22&gt;TODAY(),"upcoming",IF(F22&gt;=J22,"✓ target met",IF($A22=DATE(YEAR(TODAY()),MONTH(TODAY()),1),"in progress","below target")))</f>
        <v/>
      </c>
    </row>
    <row r="23">
      <c r="A23" s="50" t="n">
        <v>46419</v>
      </c>
      <c r="B23" s="51">
        <f>SUMPRODUCT(('My Portfolio'!$J$7:$J$106&gt;=$A23)*('My Portfolio'!$J$7:$J$106&lt;=EOMONTH($A23,0))*('My Portfolio'!$C$7:$C$106&lt;&gt;"Call")*'My Portfolio'!$G$7:$G$106*'My Portfolio'!$F$7:$F$106)-SUMPRODUCT(('My Portfolio'!$M$7:$M$106&gt;=$A23)*('My Portfolio'!$M$7:$M$106&lt;=EOMONTH($A23,0))*('My Portfolio'!$C$7:$C$106&lt;&gt;"Call")*(TRIM('My Portfolio'!$S$7:$S$106)&lt;&gt;"")*('My Portfolio'!$T$7:$T$106="")*'My Portfolio'!$N$7:$N$106*'My Portfolio'!$F$7:$F$106)</f>
        <v/>
      </c>
      <c r="C23" s="51">
        <f>SUMPRODUCT(('My Portfolio'!$J$7:$J$106&gt;=$A23)*('My Portfolio'!$J$7:$J$106&lt;=EOMONTH($A23,0))*('My Portfolio'!$C$7:$C$106="Call")*'My Portfolio'!$G$7:$G$106*'My Portfolio'!$F$7:$F$106)-SUMPRODUCT(('My Portfolio'!$M$7:$M$106&gt;=$A23)*('My Portfolio'!$M$7:$M$106&lt;=EOMONTH($A23,0))*('My Portfolio'!$C$7:$C$106="Call")*(TRIM('My Portfolio'!$S$7:$S$106)&lt;&gt;"")*('My Portfolio'!$T$7:$T$106="")*'My Portfolio'!$N$7:$N$106*'My Portfolio'!$F$7:$F$106)</f>
        <v/>
      </c>
      <c r="D23" s="51">
        <f>SUMIFS('My Portfolio'!$T$7:$T$106,'My Portfolio'!$M$7:$M$106,"&gt;="&amp;$A23,'My Portfolio'!$M$7:$M$106,"&lt;="&amp;EOMONTH($A23,0),'My Portfolio'!$C$7:$C$106,"&lt;&gt;Call")</f>
        <v/>
      </c>
      <c r="E23" s="51">
        <f>SUMIFS('My Portfolio'!$T$7:$T$106,'My Portfolio'!$M$7:$M$106,"&gt;="&amp;$A23,'My Portfolio'!$M$7:$M$106,"&lt;="&amp;EOMONTH($A23,0),'My Portfolio'!$C$7:$C$106,"Call")</f>
        <v/>
      </c>
      <c r="F23" s="52">
        <f>D23+E23</f>
        <v/>
      </c>
      <c r="G23" s="51">
        <f>G22+F23</f>
        <v/>
      </c>
      <c r="H23" s="53">
        <f>COUNTIFS('My Portfolio'!$M$7:$M$106,"&gt;="&amp;$A23,'My Portfolio'!$M$7:$M$106,"&lt;="&amp;EOMONTH($A23,0),'My Portfolio'!$T$7:$T$106,"&gt;0")+COUNTIFS('My Portfolio'!$M$7:$M$106,"&gt;="&amp;$A23,'My Portfolio'!$M$7:$M$106,"&lt;="&amp;EOMONTH($A23,0),'My Portfolio'!$T$7:$T$106,"&lt;=0")</f>
        <v/>
      </c>
      <c r="I23" s="53">
        <f>COUNTIFS('My Portfolio'!$M$7:$M$106,"&gt;="&amp;$A23,'My Portfolio'!$M$7:$M$106,"&lt;="&amp;EOMONTH($A23,0),'My Portfolio'!$T$7:$T$106,"&gt;0")</f>
        <v/>
      </c>
      <c r="J23" s="54">
        <f>'My Portfolio'!$I$3</f>
        <v/>
      </c>
      <c r="K23" s="51">
        <f>F23-J23</f>
        <v/>
      </c>
      <c r="L23" s="55">
        <f>IF($A23&gt;TODAY(),"upcoming",IF(F23&gt;=J23,"✓ target met",IF($A23=DATE(YEAR(TODAY()),MONTH(TODAY()),1),"in progress","below target")))</f>
        <v/>
      </c>
    </row>
    <row r="24">
      <c r="A24" s="44" t="n">
        <v>46447</v>
      </c>
      <c r="B24" s="45">
        <f>SUMPRODUCT(('My Portfolio'!$J$7:$J$106&gt;=$A24)*('My Portfolio'!$J$7:$J$106&lt;=EOMONTH($A24,0))*('My Portfolio'!$C$7:$C$106&lt;&gt;"Call")*'My Portfolio'!$G$7:$G$106*'My Portfolio'!$F$7:$F$106)-SUMPRODUCT(('My Portfolio'!$M$7:$M$106&gt;=$A24)*('My Portfolio'!$M$7:$M$106&lt;=EOMONTH($A24,0))*('My Portfolio'!$C$7:$C$106&lt;&gt;"Call")*(TRIM('My Portfolio'!$S$7:$S$106)&lt;&gt;"")*('My Portfolio'!$T$7:$T$106="")*'My Portfolio'!$N$7:$N$106*'My Portfolio'!$F$7:$F$106)</f>
        <v/>
      </c>
      <c r="C24" s="45">
        <f>SUMPRODUCT(('My Portfolio'!$J$7:$J$106&gt;=$A24)*('My Portfolio'!$J$7:$J$106&lt;=EOMONTH($A24,0))*('My Portfolio'!$C$7:$C$106="Call")*'My Portfolio'!$G$7:$G$106*'My Portfolio'!$F$7:$F$106)-SUMPRODUCT(('My Portfolio'!$M$7:$M$106&gt;=$A24)*('My Portfolio'!$M$7:$M$106&lt;=EOMONTH($A24,0))*('My Portfolio'!$C$7:$C$106="Call")*(TRIM('My Portfolio'!$S$7:$S$106)&lt;&gt;"")*('My Portfolio'!$T$7:$T$106="")*'My Portfolio'!$N$7:$N$106*'My Portfolio'!$F$7:$F$106)</f>
        <v/>
      </c>
      <c r="D24" s="45">
        <f>SUMIFS('My Portfolio'!$T$7:$T$106,'My Portfolio'!$M$7:$M$106,"&gt;="&amp;$A24,'My Portfolio'!$M$7:$M$106,"&lt;="&amp;EOMONTH($A24,0),'My Portfolio'!$C$7:$C$106,"&lt;&gt;Call")</f>
        <v/>
      </c>
      <c r="E24" s="45">
        <f>SUMIFS('My Portfolio'!$T$7:$T$106,'My Portfolio'!$M$7:$M$106,"&gt;="&amp;$A24,'My Portfolio'!$M$7:$M$106,"&lt;="&amp;EOMONTH($A24,0),'My Portfolio'!$C$7:$C$106,"Call")</f>
        <v/>
      </c>
      <c r="F24" s="46">
        <f>D24+E24</f>
        <v/>
      </c>
      <c r="G24" s="45">
        <f>G23+F24</f>
        <v/>
      </c>
      <c r="H24" s="47">
        <f>COUNTIFS('My Portfolio'!$M$7:$M$106,"&gt;="&amp;$A24,'My Portfolio'!$M$7:$M$106,"&lt;="&amp;EOMONTH($A24,0),'My Portfolio'!$T$7:$T$106,"&gt;0")+COUNTIFS('My Portfolio'!$M$7:$M$106,"&gt;="&amp;$A24,'My Portfolio'!$M$7:$M$106,"&lt;="&amp;EOMONTH($A24,0),'My Portfolio'!$T$7:$T$106,"&lt;=0")</f>
        <v/>
      </c>
      <c r="I24" s="47">
        <f>COUNTIFS('My Portfolio'!$M$7:$M$106,"&gt;="&amp;$A24,'My Portfolio'!$M$7:$M$106,"&lt;="&amp;EOMONTH($A24,0),'My Portfolio'!$T$7:$T$106,"&gt;0")</f>
        <v/>
      </c>
      <c r="J24" s="48">
        <f>'My Portfolio'!$I$3</f>
        <v/>
      </c>
      <c r="K24" s="45">
        <f>F24-J24</f>
        <v/>
      </c>
      <c r="L24" s="49">
        <f>IF($A24&gt;TODAY(),"upcoming",IF(F24&gt;=J24,"✓ target met",IF($A24=DATE(YEAR(TODAY()),MONTH(TODAY()),1),"in progress","below target")))</f>
        <v/>
      </c>
    </row>
    <row r="25">
      <c r="A25" s="56" t="inlineStr">
        <is>
          <t>Q1 2027</t>
        </is>
      </c>
      <c r="B25" s="57">
        <f>B22+B23+B24</f>
        <v/>
      </c>
      <c r="C25" s="57">
        <f>C22+C23+C24</f>
        <v/>
      </c>
      <c r="D25" s="57">
        <f>D22+D23+D24</f>
        <v/>
      </c>
      <c r="E25" s="57">
        <f>E22+E23+E24</f>
        <v/>
      </c>
      <c r="F25" s="57">
        <f>F22+F23+F24</f>
        <v/>
      </c>
      <c r="G25" s="57">
        <f>G24</f>
        <v/>
      </c>
      <c r="H25" s="56">
        <f>H22+H23+H24</f>
        <v/>
      </c>
      <c r="I25" s="56">
        <f>I22+I23+I24</f>
        <v/>
      </c>
      <c r="J25" s="57">
        <f>IF(A22&lt;=TODAY(),J22,0)+IF(A23&lt;=TODAY(),J23,0)+IF(A24&lt;=TODAY(),J24,0)</f>
        <v/>
      </c>
      <c r="K25" s="57">
        <f>F25-J25</f>
        <v/>
      </c>
      <c r="L25" s="56">
        <f>IF(A22&gt;TODAY(),"upcoming",IF(F25&gt;=J25,"✓ target met",IF(A24&gt;=DATE(YEAR(TODAY()),MONTH(TODAY()),1),"in progress","below target")))</f>
        <v/>
      </c>
    </row>
    <row r="26">
      <c r="A26" s="50" t="n">
        <v>46478</v>
      </c>
      <c r="B26" s="51">
        <f>SUMPRODUCT(('My Portfolio'!$J$7:$J$106&gt;=$A26)*('My Portfolio'!$J$7:$J$106&lt;=EOMONTH($A26,0))*('My Portfolio'!$C$7:$C$106&lt;&gt;"Call")*'My Portfolio'!$G$7:$G$106*'My Portfolio'!$F$7:$F$106)-SUMPRODUCT(('My Portfolio'!$M$7:$M$106&gt;=$A26)*('My Portfolio'!$M$7:$M$106&lt;=EOMONTH($A26,0))*('My Portfolio'!$C$7:$C$106&lt;&gt;"Call")*(TRIM('My Portfolio'!$S$7:$S$106)&lt;&gt;"")*('My Portfolio'!$T$7:$T$106="")*'My Portfolio'!$N$7:$N$106*'My Portfolio'!$F$7:$F$106)</f>
        <v/>
      </c>
      <c r="C26" s="51">
        <f>SUMPRODUCT(('My Portfolio'!$J$7:$J$106&gt;=$A26)*('My Portfolio'!$J$7:$J$106&lt;=EOMONTH($A26,0))*('My Portfolio'!$C$7:$C$106="Call")*'My Portfolio'!$G$7:$G$106*'My Portfolio'!$F$7:$F$106)-SUMPRODUCT(('My Portfolio'!$M$7:$M$106&gt;=$A26)*('My Portfolio'!$M$7:$M$106&lt;=EOMONTH($A26,0))*('My Portfolio'!$C$7:$C$106="Call")*(TRIM('My Portfolio'!$S$7:$S$106)&lt;&gt;"")*('My Portfolio'!$T$7:$T$106="")*'My Portfolio'!$N$7:$N$106*'My Portfolio'!$F$7:$F$106)</f>
        <v/>
      </c>
      <c r="D26" s="51">
        <f>SUMIFS('My Portfolio'!$T$7:$T$106,'My Portfolio'!$M$7:$M$106,"&gt;="&amp;$A26,'My Portfolio'!$M$7:$M$106,"&lt;="&amp;EOMONTH($A26,0),'My Portfolio'!$C$7:$C$106,"&lt;&gt;Call")</f>
        <v/>
      </c>
      <c r="E26" s="51">
        <f>SUMIFS('My Portfolio'!$T$7:$T$106,'My Portfolio'!$M$7:$M$106,"&gt;="&amp;$A26,'My Portfolio'!$M$7:$M$106,"&lt;="&amp;EOMONTH($A26,0),'My Portfolio'!$C$7:$C$106,"Call")</f>
        <v/>
      </c>
      <c r="F26" s="52">
        <f>D26+E26</f>
        <v/>
      </c>
      <c r="G26" s="51">
        <f>G24+F26</f>
        <v/>
      </c>
      <c r="H26" s="53">
        <f>COUNTIFS('My Portfolio'!$M$7:$M$106,"&gt;="&amp;$A26,'My Portfolio'!$M$7:$M$106,"&lt;="&amp;EOMONTH($A26,0),'My Portfolio'!$T$7:$T$106,"&gt;0")+COUNTIFS('My Portfolio'!$M$7:$M$106,"&gt;="&amp;$A26,'My Portfolio'!$M$7:$M$106,"&lt;="&amp;EOMONTH($A26,0),'My Portfolio'!$T$7:$T$106,"&lt;=0")</f>
        <v/>
      </c>
      <c r="I26" s="53">
        <f>COUNTIFS('My Portfolio'!$M$7:$M$106,"&gt;="&amp;$A26,'My Portfolio'!$M$7:$M$106,"&lt;="&amp;EOMONTH($A26,0),'My Portfolio'!$T$7:$T$106,"&gt;0")</f>
        <v/>
      </c>
      <c r="J26" s="54">
        <f>'My Portfolio'!$I$3</f>
        <v/>
      </c>
      <c r="K26" s="51">
        <f>F26-J26</f>
        <v/>
      </c>
      <c r="L26" s="55">
        <f>IF($A26&gt;TODAY(),"upcoming",IF(F26&gt;=J26,"✓ target met",IF($A26=DATE(YEAR(TODAY()),MONTH(TODAY()),1),"in progress","below target")))</f>
        <v/>
      </c>
    </row>
    <row r="27">
      <c r="A27" s="44" t="n">
        <v>46508</v>
      </c>
      <c r="B27" s="45">
        <f>SUMPRODUCT(('My Portfolio'!$J$7:$J$106&gt;=$A27)*('My Portfolio'!$J$7:$J$106&lt;=EOMONTH($A27,0))*('My Portfolio'!$C$7:$C$106&lt;&gt;"Call")*'My Portfolio'!$G$7:$G$106*'My Portfolio'!$F$7:$F$106)-SUMPRODUCT(('My Portfolio'!$M$7:$M$106&gt;=$A27)*('My Portfolio'!$M$7:$M$106&lt;=EOMONTH($A27,0))*('My Portfolio'!$C$7:$C$106&lt;&gt;"Call")*(TRIM('My Portfolio'!$S$7:$S$106)&lt;&gt;"")*('My Portfolio'!$T$7:$T$106="")*'My Portfolio'!$N$7:$N$106*'My Portfolio'!$F$7:$F$106)</f>
        <v/>
      </c>
      <c r="C27" s="45">
        <f>SUMPRODUCT(('My Portfolio'!$J$7:$J$106&gt;=$A27)*('My Portfolio'!$J$7:$J$106&lt;=EOMONTH($A27,0))*('My Portfolio'!$C$7:$C$106="Call")*'My Portfolio'!$G$7:$G$106*'My Portfolio'!$F$7:$F$106)-SUMPRODUCT(('My Portfolio'!$M$7:$M$106&gt;=$A27)*('My Portfolio'!$M$7:$M$106&lt;=EOMONTH($A27,0))*('My Portfolio'!$C$7:$C$106="Call")*(TRIM('My Portfolio'!$S$7:$S$106)&lt;&gt;"")*('My Portfolio'!$T$7:$T$106="")*'My Portfolio'!$N$7:$N$106*'My Portfolio'!$F$7:$F$106)</f>
        <v/>
      </c>
      <c r="D27" s="45">
        <f>SUMIFS('My Portfolio'!$T$7:$T$106,'My Portfolio'!$M$7:$M$106,"&gt;="&amp;$A27,'My Portfolio'!$M$7:$M$106,"&lt;="&amp;EOMONTH($A27,0),'My Portfolio'!$C$7:$C$106,"&lt;&gt;Call")</f>
        <v/>
      </c>
      <c r="E27" s="45">
        <f>SUMIFS('My Portfolio'!$T$7:$T$106,'My Portfolio'!$M$7:$M$106,"&gt;="&amp;$A27,'My Portfolio'!$M$7:$M$106,"&lt;="&amp;EOMONTH($A27,0),'My Portfolio'!$C$7:$C$106,"Call")</f>
        <v/>
      </c>
      <c r="F27" s="46">
        <f>D27+E27</f>
        <v/>
      </c>
      <c r="G27" s="45">
        <f>G26+F27</f>
        <v/>
      </c>
      <c r="H27" s="47">
        <f>COUNTIFS('My Portfolio'!$M$7:$M$106,"&gt;="&amp;$A27,'My Portfolio'!$M$7:$M$106,"&lt;="&amp;EOMONTH($A27,0),'My Portfolio'!$T$7:$T$106,"&gt;0")+COUNTIFS('My Portfolio'!$M$7:$M$106,"&gt;="&amp;$A27,'My Portfolio'!$M$7:$M$106,"&lt;="&amp;EOMONTH($A27,0),'My Portfolio'!$T$7:$T$106,"&lt;=0")</f>
        <v/>
      </c>
      <c r="I27" s="47">
        <f>COUNTIFS('My Portfolio'!$M$7:$M$106,"&gt;="&amp;$A27,'My Portfolio'!$M$7:$M$106,"&lt;="&amp;EOMONTH($A27,0),'My Portfolio'!$T$7:$T$106,"&gt;0")</f>
        <v/>
      </c>
      <c r="J27" s="48">
        <f>'My Portfolio'!$I$3</f>
        <v/>
      </c>
      <c r="K27" s="45">
        <f>F27-J27</f>
        <v/>
      </c>
      <c r="L27" s="49">
        <f>IF($A27&gt;TODAY(),"upcoming",IF(F27&gt;=J27,"✓ target met",IF($A27=DATE(YEAR(TODAY()),MONTH(TODAY()),1),"in progress","below target")))</f>
        <v/>
      </c>
    </row>
    <row r="28">
      <c r="A28" s="50" t="n">
        <v>46539</v>
      </c>
      <c r="B28" s="51">
        <f>SUMPRODUCT(('My Portfolio'!$J$7:$J$106&gt;=$A28)*('My Portfolio'!$J$7:$J$106&lt;=EOMONTH($A28,0))*('My Portfolio'!$C$7:$C$106&lt;&gt;"Call")*'My Portfolio'!$G$7:$G$106*'My Portfolio'!$F$7:$F$106)-SUMPRODUCT(('My Portfolio'!$M$7:$M$106&gt;=$A28)*('My Portfolio'!$M$7:$M$106&lt;=EOMONTH($A28,0))*('My Portfolio'!$C$7:$C$106&lt;&gt;"Call")*(TRIM('My Portfolio'!$S$7:$S$106)&lt;&gt;"")*('My Portfolio'!$T$7:$T$106="")*'My Portfolio'!$N$7:$N$106*'My Portfolio'!$F$7:$F$106)</f>
        <v/>
      </c>
      <c r="C28" s="51">
        <f>SUMPRODUCT(('My Portfolio'!$J$7:$J$106&gt;=$A28)*('My Portfolio'!$J$7:$J$106&lt;=EOMONTH($A28,0))*('My Portfolio'!$C$7:$C$106="Call")*'My Portfolio'!$G$7:$G$106*'My Portfolio'!$F$7:$F$106)-SUMPRODUCT(('My Portfolio'!$M$7:$M$106&gt;=$A28)*('My Portfolio'!$M$7:$M$106&lt;=EOMONTH($A28,0))*('My Portfolio'!$C$7:$C$106="Call")*(TRIM('My Portfolio'!$S$7:$S$106)&lt;&gt;"")*('My Portfolio'!$T$7:$T$106="")*'My Portfolio'!$N$7:$N$106*'My Portfolio'!$F$7:$F$106)</f>
        <v/>
      </c>
      <c r="D28" s="51">
        <f>SUMIFS('My Portfolio'!$T$7:$T$106,'My Portfolio'!$M$7:$M$106,"&gt;="&amp;$A28,'My Portfolio'!$M$7:$M$106,"&lt;="&amp;EOMONTH($A28,0),'My Portfolio'!$C$7:$C$106,"&lt;&gt;Call")</f>
        <v/>
      </c>
      <c r="E28" s="51">
        <f>SUMIFS('My Portfolio'!$T$7:$T$106,'My Portfolio'!$M$7:$M$106,"&gt;="&amp;$A28,'My Portfolio'!$M$7:$M$106,"&lt;="&amp;EOMONTH($A28,0),'My Portfolio'!$C$7:$C$106,"Call")</f>
        <v/>
      </c>
      <c r="F28" s="52">
        <f>D28+E28</f>
        <v/>
      </c>
      <c r="G28" s="51">
        <f>G27+F28</f>
        <v/>
      </c>
      <c r="H28" s="53">
        <f>COUNTIFS('My Portfolio'!$M$7:$M$106,"&gt;="&amp;$A28,'My Portfolio'!$M$7:$M$106,"&lt;="&amp;EOMONTH($A28,0),'My Portfolio'!$T$7:$T$106,"&gt;0")+COUNTIFS('My Portfolio'!$M$7:$M$106,"&gt;="&amp;$A28,'My Portfolio'!$M$7:$M$106,"&lt;="&amp;EOMONTH($A28,0),'My Portfolio'!$T$7:$T$106,"&lt;=0")</f>
        <v/>
      </c>
      <c r="I28" s="53">
        <f>COUNTIFS('My Portfolio'!$M$7:$M$106,"&gt;="&amp;$A28,'My Portfolio'!$M$7:$M$106,"&lt;="&amp;EOMONTH($A28,0),'My Portfolio'!$T$7:$T$106,"&gt;0")</f>
        <v/>
      </c>
      <c r="J28" s="54">
        <f>'My Portfolio'!$I$3</f>
        <v/>
      </c>
      <c r="K28" s="51">
        <f>F28-J28</f>
        <v/>
      </c>
      <c r="L28" s="55">
        <f>IF($A28&gt;TODAY(),"upcoming",IF(F28&gt;=J28,"✓ target met",IF($A28=DATE(YEAR(TODAY()),MONTH(TODAY()),1),"in progress","below target")))</f>
        <v/>
      </c>
    </row>
    <row r="29">
      <c r="A29" s="56" t="inlineStr">
        <is>
          <t>Q2 2027</t>
        </is>
      </c>
      <c r="B29" s="57">
        <f>B26+B27+B28</f>
        <v/>
      </c>
      <c r="C29" s="57">
        <f>C26+C27+C28</f>
        <v/>
      </c>
      <c r="D29" s="57">
        <f>D26+D27+D28</f>
        <v/>
      </c>
      <c r="E29" s="57">
        <f>E26+E27+E28</f>
        <v/>
      </c>
      <c r="F29" s="57">
        <f>F26+F27+F28</f>
        <v/>
      </c>
      <c r="G29" s="57">
        <f>G28</f>
        <v/>
      </c>
      <c r="H29" s="56">
        <f>H26+H27+H28</f>
        <v/>
      </c>
      <c r="I29" s="56">
        <f>I26+I27+I28</f>
        <v/>
      </c>
      <c r="J29" s="57">
        <f>IF(A26&lt;=TODAY(),J26,0)+IF(A27&lt;=TODAY(),J27,0)+IF(A28&lt;=TODAY(),J28,0)</f>
        <v/>
      </c>
      <c r="K29" s="57">
        <f>F29-J29</f>
        <v/>
      </c>
      <c r="L29" s="56">
        <f>IF(A26&gt;TODAY(),"upcoming",IF(F29&gt;=J29,"✓ target met",IF(A28&gt;=DATE(YEAR(TODAY()),MONTH(TODAY()),1),"in progress","below target")))</f>
        <v/>
      </c>
    </row>
    <row r="30">
      <c r="A30" s="44" t="n">
        <v>46569</v>
      </c>
      <c r="B30" s="45">
        <f>SUMPRODUCT(('My Portfolio'!$J$7:$J$106&gt;=$A30)*('My Portfolio'!$J$7:$J$106&lt;=EOMONTH($A30,0))*('My Portfolio'!$C$7:$C$106&lt;&gt;"Call")*'My Portfolio'!$G$7:$G$106*'My Portfolio'!$F$7:$F$106)-SUMPRODUCT(('My Portfolio'!$M$7:$M$106&gt;=$A30)*('My Portfolio'!$M$7:$M$106&lt;=EOMONTH($A30,0))*('My Portfolio'!$C$7:$C$106&lt;&gt;"Call")*(TRIM('My Portfolio'!$S$7:$S$106)&lt;&gt;"")*('My Portfolio'!$T$7:$T$106="")*'My Portfolio'!$N$7:$N$106*'My Portfolio'!$F$7:$F$106)</f>
        <v/>
      </c>
      <c r="C30" s="45">
        <f>SUMPRODUCT(('My Portfolio'!$J$7:$J$106&gt;=$A30)*('My Portfolio'!$J$7:$J$106&lt;=EOMONTH($A30,0))*('My Portfolio'!$C$7:$C$106="Call")*'My Portfolio'!$G$7:$G$106*'My Portfolio'!$F$7:$F$106)-SUMPRODUCT(('My Portfolio'!$M$7:$M$106&gt;=$A30)*('My Portfolio'!$M$7:$M$106&lt;=EOMONTH($A30,0))*('My Portfolio'!$C$7:$C$106="Call")*(TRIM('My Portfolio'!$S$7:$S$106)&lt;&gt;"")*('My Portfolio'!$T$7:$T$106="")*'My Portfolio'!$N$7:$N$106*'My Portfolio'!$F$7:$F$106)</f>
        <v/>
      </c>
      <c r="D30" s="45">
        <f>SUMIFS('My Portfolio'!$T$7:$T$106,'My Portfolio'!$M$7:$M$106,"&gt;="&amp;$A30,'My Portfolio'!$M$7:$M$106,"&lt;="&amp;EOMONTH($A30,0),'My Portfolio'!$C$7:$C$106,"&lt;&gt;Call")</f>
        <v/>
      </c>
      <c r="E30" s="45">
        <f>SUMIFS('My Portfolio'!$T$7:$T$106,'My Portfolio'!$M$7:$M$106,"&gt;="&amp;$A30,'My Portfolio'!$M$7:$M$106,"&lt;="&amp;EOMONTH($A30,0),'My Portfolio'!$C$7:$C$106,"Call")</f>
        <v/>
      </c>
      <c r="F30" s="46">
        <f>D30+E30</f>
        <v/>
      </c>
      <c r="G30" s="45">
        <f>G28+F30</f>
        <v/>
      </c>
      <c r="H30" s="47">
        <f>COUNTIFS('My Portfolio'!$M$7:$M$106,"&gt;="&amp;$A30,'My Portfolio'!$M$7:$M$106,"&lt;="&amp;EOMONTH($A30,0),'My Portfolio'!$T$7:$T$106,"&gt;0")+COUNTIFS('My Portfolio'!$M$7:$M$106,"&gt;="&amp;$A30,'My Portfolio'!$M$7:$M$106,"&lt;="&amp;EOMONTH($A30,0),'My Portfolio'!$T$7:$T$106,"&lt;=0")</f>
        <v/>
      </c>
      <c r="I30" s="47">
        <f>COUNTIFS('My Portfolio'!$M$7:$M$106,"&gt;="&amp;$A30,'My Portfolio'!$M$7:$M$106,"&lt;="&amp;EOMONTH($A30,0),'My Portfolio'!$T$7:$T$106,"&gt;0")</f>
        <v/>
      </c>
      <c r="J30" s="48">
        <f>'My Portfolio'!$I$3</f>
        <v/>
      </c>
      <c r="K30" s="45">
        <f>F30-J30</f>
        <v/>
      </c>
      <c r="L30" s="49">
        <f>IF($A30&gt;TODAY(),"upcoming",IF(F30&gt;=J30,"✓ target met",IF($A30=DATE(YEAR(TODAY()),MONTH(TODAY()),1),"in progress","below target")))</f>
        <v/>
      </c>
    </row>
    <row r="31">
      <c r="A31" s="50" t="n">
        <v>46600</v>
      </c>
      <c r="B31" s="51">
        <f>SUMPRODUCT(('My Portfolio'!$J$7:$J$106&gt;=$A31)*('My Portfolio'!$J$7:$J$106&lt;=EOMONTH($A31,0))*('My Portfolio'!$C$7:$C$106&lt;&gt;"Call")*'My Portfolio'!$G$7:$G$106*'My Portfolio'!$F$7:$F$106)-SUMPRODUCT(('My Portfolio'!$M$7:$M$106&gt;=$A31)*('My Portfolio'!$M$7:$M$106&lt;=EOMONTH($A31,0))*('My Portfolio'!$C$7:$C$106&lt;&gt;"Call")*(TRIM('My Portfolio'!$S$7:$S$106)&lt;&gt;"")*('My Portfolio'!$T$7:$T$106="")*'My Portfolio'!$N$7:$N$106*'My Portfolio'!$F$7:$F$106)</f>
        <v/>
      </c>
      <c r="C31" s="51">
        <f>SUMPRODUCT(('My Portfolio'!$J$7:$J$106&gt;=$A31)*('My Portfolio'!$J$7:$J$106&lt;=EOMONTH($A31,0))*('My Portfolio'!$C$7:$C$106="Call")*'My Portfolio'!$G$7:$G$106*'My Portfolio'!$F$7:$F$106)-SUMPRODUCT(('My Portfolio'!$M$7:$M$106&gt;=$A31)*('My Portfolio'!$M$7:$M$106&lt;=EOMONTH($A31,0))*('My Portfolio'!$C$7:$C$106="Call")*(TRIM('My Portfolio'!$S$7:$S$106)&lt;&gt;"")*('My Portfolio'!$T$7:$T$106="")*'My Portfolio'!$N$7:$N$106*'My Portfolio'!$F$7:$F$106)</f>
        <v/>
      </c>
      <c r="D31" s="51">
        <f>SUMIFS('My Portfolio'!$T$7:$T$106,'My Portfolio'!$M$7:$M$106,"&gt;="&amp;$A31,'My Portfolio'!$M$7:$M$106,"&lt;="&amp;EOMONTH($A31,0),'My Portfolio'!$C$7:$C$106,"&lt;&gt;Call")</f>
        <v/>
      </c>
      <c r="E31" s="51">
        <f>SUMIFS('My Portfolio'!$T$7:$T$106,'My Portfolio'!$M$7:$M$106,"&gt;="&amp;$A31,'My Portfolio'!$M$7:$M$106,"&lt;="&amp;EOMONTH($A31,0),'My Portfolio'!$C$7:$C$106,"Call")</f>
        <v/>
      </c>
      <c r="F31" s="52">
        <f>D31+E31</f>
        <v/>
      </c>
      <c r="G31" s="51">
        <f>G30+F31</f>
        <v/>
      </c>
      <c r="H31" s="53">
        <f>COUNTIFS('My Portfolio'!$M$7:$M$106,"&gt;="&amp;$A31,'My Portfolio'!$M$7:$M$106,"&lt;="&amp;EOMONTH($A31,0),'My Portfolio'!$T$7:$T$106,"&gt;0")+COUNTIFS('My Portfolio'!$M$7:$M$106,"&gt;="&amp;$A31,'My Portfolio'!$M$7:$M$106,"&lt;="&amp;EOMONTH($A31,0),'My Portfolio'!$T$7:$T$106,"&lt;=0")</f>
        <v/>
      </c>
      <c r="I31" s="53">
        <f>COUNTIFS('My Portfolio'!$M$7:$M$106,"&gt;="&amp;$A31,'My Portfolio'!$M$7:$M$106,"&lt;="&amp;EOMONTH($A31,0),'My Portfolio'!$T$7:$T$106,"&gt;0")</f>
        <v/>
      </c>
      <c r="J31" s="54">
        <f>'My Portfolio'!$I$3</f>
        <v/>
      </c>
      <c r="K31" s="51">
        <f>F31-J31</f>
        <v/>
      </c>
      <c r="L31" s="55">
        <f>IF($A31&gt;TODAY(),"upcoming",IF(F31&gt;=J31,"✓ target met",IF($A31=DATE(YEAR(TODAY()),MONTH(TODAY()),1),"in progress","below target")))</f>
        <v/>
      </c>
    </row>
    <row r="32">
      <c r="A32" s="44" t="n">
        <v>46631</v>
      </c>
      <c r="B32" s="45">
        <f>SUMPRODUCT(('My Portfolio'!$J$7:$J$106&gt;=$A32)*('My Portfolio'!$J$7:$J$106&lt;=EOMONTH($A32,0))*('My Portfolio'!$C$7:$C$106&lt;&gt;"Call")*'My Portfolio'!$G$7:$G$106*'My Portfolio'!$F$7:$F$106)-SUMPRODUCT(('My Portfolio'!$M$7:$M$106&gt;=$A32)*('My Portfolio'!$M$7:$M$106&lt;=EOMONTH($A32,0))*('My Portfolio'!$C$7:$C$106&lt;&gt;"Call")*(TRIM('My Portfolio'!$S$7:$S$106)&lt;&gt;"")*('My Portfolio'!$T$7:$T$106="")*'My Portfolio'!$N$7:$N$106*'My Portfolio'!$F$7:$F$106)</f>
        <v/>
      </c>
      <c r="C32" s="45">
        <f>SUMPRODUCT(('My Portfolio'!$J$7:$J$106&gt;=$A32)*('My Portfolio'!$J$7:$J$106&lt;=EOMONTH($A32,0))*('My Portfolio'!$C$7:$C$106="Call")*'My Portfolio'!$G$7:$G$106*'My Portfolio'!$F$7:$F$106)-SUMPRODUCT(('My Portfolio'!$M$7:$M$106&gt;=$A32)*('My Portfolio'!$M$7:$M$106&lt;=EOMONTH($A32,0))*('My Portfolio'!$C$7:$C$106="Call")*(TRIM('My Portfolio'!$S$7:$S$106)&lt;&gt;"")*('My Portfolio'!$T$7:$T$106="")*'My Portfolio'!$N$7:$N$106*'My Portfolio'!$F$7:$F$106)</f>
        <v/>
      </c>
      <c r="D32" s="45">
        <f>SUMIFS('My Portfolio'!$T$7:$T$106,'My Portfolio'!$M$7:$M$106,"&gt;="&amp;$A32,'My Portfolio'!$M$7:$M$106,"&lt;="&amp;EOMONTH($A32,0),'My Portfolio'!$C$7:$C$106,"&lt;&gt;Call")</f>
        <v/>
      </c>
      <c r="E32" s="45">
        <f>SUMIFS('My Portfolio'!$T$7:$T$106,'My Portfolio'!$M$7:$M$106,"&gt;="&amp;$A32,'My Portfolio'!$M$7:$M$106,"&lt;="&amp;EOMONTH($A32,0),'My Portfolio'!$C$7:$C$106,"Call")</f>
        <v/>
      </c>
      <c r="F32" s="46">
        <f>D32+E32</f>
        <v/>
      </c>
      <c r="G32" s="45">
        <f>G31+F32</f>
        <v/>
      </c>
      <c r="H32" s="47">
        <f>COUNTIFS('My Portfolio'!$M$7:$M$106,"&gt;="&amp;$A32,'My Portfolio'!$M$7:$M$106,"&lt;="&amp;EOMONTH($A32,0),'My Portfolio'!$T$7:$T$106,"&gt;0")+COUNTIFS('My Portfolio'!$M$7:$M$106,"&gt;="&amp;$A32,'My Portfolio'!$M$7:$M$106,"&lt;="&amp;EOMONTH($A32,0),'My Portfolio'!$T$7:$T$106,"&lt;=0")</f>
        <v/>
      </c>
      <c r="I32" s="47">
        <f>COUNTIFS('My Portfolio'!$M$7:$M$106,"&gt;="&amp;$A32,'My Portfolio'!$M$7:$M$106,"&lt;="&amp;EOMONTH($A32,0),'My Portfolio'!$T$7:$T$106,"&gt;0")</f>
        <v/>
      </c>
      <c r="J32" s="48">
        <f>'My Portfolio'!$I$3</f>
        <v/>
      </c>
      <c r="K32" s="45">
        <f>F32-J32</f>
        <v/>
      </c>
      <c r="L32" s="49">
        <f>IF($A32&gt;TODAY(),"upcoming",IF(F32&gt;=J32,"✓ target met",IF($A32=DATE(YEAR(TODAY()),MONTH(TODAY()),1),"in progress","below target")))</f>
        <v/>
      </c>
    </row>
    <row r="33">
      <c r="A33" s="56" t="inlineStr">
        <is>
          <t>Q3 2027</t>
        </is>
      </c>
      <c r="B33" s="57">
        <f>B30+B31+B32</f>
        <v/>
      </c>
      <c r="C33" s="57">
        <f>C30+C31+C32</f>
        <v/>
      </c>
      <c r="D33" s="57">
        <f>D30+D31+D32</f>
        <v/>
      </c>
      <c r="E33" s="57">
        <f>E30+E31+E32</f>
        <v/>
      </c>
      <c r="F33" s="57">
        <f>F30+F31+F32</f>
        <v/>
      </c>
      <c r="G33" s="57">
        <f>G32</f>
        <v/>
      </c>
      <c r="H33" s="56">
        <f>H30+H31+H32</f>
        <v/>
      </c>
      <c r="I33" s="56">
        <f>I30+I31+I32</f>
        <v/>
      </c>
      <c r="J33" s="57">
        <f>IF(A30&lt;=TODAY(),J30,0)+IF(A31&lt;=TODAY(),J31,0)+IF(A32&lt;=TODAY(),J32,0)</f>
        <v/>
      </c>
      <c r="K33" s="57">
        <f>F33-J33</f>
        <v/>
      </c>
      <c r="L33" s="56">
        <f>IF(A30&gt;TODAY(),"upcoming",IF(F33&gt;=J33,"✓ target met",IF(A32&gt;=DATE(YEAR(TODAY()),MONTH(TODAY()),1),"in progress","below target")))</f>
        <v/>
      </c>
    </row>
    <row r="34">
      <c r="A34" s="50" t="n">
        <v>46661</v>
      </c>
      <c r="B34" s="51">
        <f>SUMPRODUCT(('My Portfolio'!$J$7:$J$106&gt;=$A34)*('My Portfolio'!$J$7:$J$106&lt;=EOMONTH($A34,0))*('My Portfolio'!$C$7:$C$106&lt;&gt;"Call")*'My Portfolio'!$G$7:$G$106*'My Portfolio'!$F$7:$F$106)-SUMPRODUCT(('My Portfolio'!$M$7:$M$106&gt;=$A34)*('My Portfolio'!$M$7:$M$106&lt;=EOMONTH($A34,0))*('My Portfolio'!$C$7:$C$106&lt;&gt;"Call")*(TRIM('My Portfolio'!$S$7:$S$106)&lt;&gt;"")*('My Portfolio'!$T$7:$T$106="")*'My Portfolio'!$N$7:$N$106*'My Portfolio'!$F$7:$F$106)</f>
        <v/>
      </c>
      <c r="C34" s="51">
        <f>SUMPRODUCT(('My Portfolio'!$J$7:$J$106&gt;=$A34)*('My Portfolio'!$J$7:$J$106&lt;=EOMONTH($A34,0))*('My Portfolio'!$C$7:$C$106="Call")*'My Portfolio'!$G$7:$G$106*'My Portfolio'!$F$7:$F$106)-SUMPRODUCT(('My Portfolio'!$M$7:$M$106&gt;=$A34)*('My Portfolio'!$M$7:$M$106&lt;=EOMONTH($A34,0))*('My Portfolio'!$C$7:$C$106="Call")*(TRIM('My Portfolio'!$S$7:$S$106)&lt;&gt;"")*('My Portfolio'!$T$7:$T$106="")*'My Portfolio'!$N$7:$N$106*'My Portfolio'!$F$7:$F$106)</f>
        <v/>
      </c>
      <c r="D34" s="51">
        <f>SUMIFS('My Portfolio'!$T$7:$T$106,'My Portfolio'!$M$7:$M$106,"&gt;="&amp;$A34,'My Portfolio'!$M$7:$M$106,"&lt;="&amp;EOMONTH($A34,0),'My Portfolio'!$C$7:$C$106,"&lt;&gt;Call")</f>
        <v/>
      </c>
      <c r="E34" s="51">
        <f>SUMIFS('My Portfolio'!$T$7:$T$106,'My Portfolio'!$M$7:$M$106,"&gt;="&amp;$A34,'My Portfolio'!$M$7:$M$106,"&lt;="&amp;EOMONTH($A34,0),'My Portfolio'!$C$7:$C$106,"Call")</f>
        <v/>
      </c>
      <c r="F34" s="52">
        <f>D34+E34</f>
        <v/>
      </c>
      <c r="G34" s="51">
        <f>G32+F34</f>
        <v/>
      </c>
      <c r="H34" s="53">
        <f>COUNTIFS('My Portfolio'!$M$7:$M$106,"&gt;="&amp;$A34,'My Portfolio'!$M$7:$M$106,"&lt;="&amp;EOMONTH($A34,0),'My Portfolio'!$T$7:$T$106,"&gt;0")+COUNTIFS('My Portfolio'!$M$7:$M$106,"&gt;="&amp;$A34,'My Portfolio'!$M$7:$M$106,"&lt;="&amp;EOMONTH($A34,0),'My Portfolio'!$T$7:$T$106,"&lt;=0")</f>
        <v/>
      </c>
      <c r="I34" s="53">
        <f>COUNTIFS('My Portfolio'!$M$7:$M$106,"&gt;="&amp;$A34,'My Portfolio'!$M$7:$M$106,"&lt;="&amp;EOMONTH($A34,0),'My Portfolio'!$T$7:$T$106,"&gt;0")</f>
        <v/>
      </c>
      <c r="J34" s="54">
        <f>'My Portfolio'!$I$3</f>
        <v/>
      </c>
      <c r="K34" s="51">
        <f>F34-J34</f>
        <v/>
      </c>
      <c r="L34" s="55">
        <f>IF($A34&gt;TODAY(),"upcoming",IF(F34&gt;=J34,"✓ target met",IF($A34=DATE(YEAR(TODAY()),MONTH(TODAY()),1),"in progress","below target")))</f>
        <v/>
      </c>
    </row>
    <row r="35">
      <c r="A35" s="44" t="n">
        <v>46692</v>
      </c>
      <c r="B35" s="45">
        <f>SUMPRODUCT(('My Portfolio'!$J$7:$J$106&gt;=$A35)*('My Portfolio'!$J$7:$J$106&lt;=EOMONTH($A35,0))*('My Portfolio'!$C$7:$C$106&lt;&gt;"Call")*'My Portfolio'!$G$7:$G$106*'My Portfolio'!$F$7:$F$106)-SUMPRODUCT(('My Portfolio'!$M$7:$M$106&gt;=$A35)*('My Portfolio'!$M$7:$M$106&lt;=EOMONTH($A35,0))*('My Portfolio'!$C$7:$C$106&lt;&gt;"Call")*(TRIM('My Portfolio'!$S$7:$S$106)&lt;&gt;"")*('My Portfolio'!$T$7:$T$106="")*'My Portfolio'!$N$7:$N$106*'My Portfolio'!$F$7:$F$106)</f>
        <v/>
      </c>
      <c r="C35" s="45">
        <f>SUMPRODUCT(('My Portfolio'!$J$7:$J$106&gt;=$A35)*('My Portfolio'!$J$7:$J$106&lt;=EOMONTH($A35,0))*('My Portfolio'!$C$7:$C$106="Call")*'My Portfolio'!$G$7:$G$106*'My Portfolio'!$F$7:$F$106)-SUMPRODUCT(('My Portfolio'!$M$7:$M$106&gt;=$A35)*('My Portfolio'!$M$7:$M$106&lt;=EOMONTH($A35,0))*('My Portfolio'!$C$7:$C$106="Call")*(TRIM('My Portfolio'!$S$7:$S$106)&lt;&gt;"")*('My Portfolio'!$T$7:$T$106="")*'My Portfolio'!$N$7:$N$106*'My Portfolio'!$F$7:$F$106)</f>
        <v/>
      </c>
      <c r="D35" s="45">
        <f>SUMIFS('My Portfolio'!$T$7:$T$106,'My Portfolio'!$M$7:$M$106,"&gt;="&amp;$A35,'My Portfolio'!$M$7:$M$106,"&lt;="&amp;EOMONTH($A35,0),'My Portfolio'!$C$7:$C$106,"&lt;&gt;Call")</f>
        <v/>
      </c>
      <c r="E35" s="45">
        <f>SUMIFS('My Portfolio'!$T$7:$T$106,'My Portfolio'!$M$7:$M$106,"&gt;="&amp;$A35,'My Portfolio'!$M$7:$M$106,"&lt;="&amp;EOMONTH($A35,0),'My Portfolio'!$C$7:$C$106,"Call")</f>
        <v/>
      </c>
      <c r="F35" s="46">
        <f>D35+E35</f>
        <v/>
      </c>
      <c r="G35" s="45">
        <f>G34+F35</f>
        <v/>
      </c>
      <c r="H35" s="47">
        <f>COUNTIFS('My Portfolio'!$M$7:$M$106,"&gt;="&amp;$A35,'My Portfolio'!$M$7:$M$106,"&lt;="&amp;EOMONTH($A35,0),'My Portfolio'!$T$7:$T$106,"&gt;0")+COUNTIFS('My Portfolio'!$M$7:$M$106,"&gt;="&amp;$A35,'My Portfolio'!$M$7:$M$106,"&lt;="&amp;EOMONTH($A35,0),'My Portfolio'!$T$7:$T$106,"&lt;=0")</f>
        <v/>
      </c>
      <c r="I35" s="47">
        <f>COUNTIFS('My Portfolio'!$M$7:$M$106,"&gt;="&amp;$A35,'My Portfolio'!$M$7:$M$106,"&lt;="&amp;EOMONTH($A35,0),'My Portfolio'!$T$7:$T$106,"&gt;0")</f>
        <v/>
      </c>
      <c r="J35" s="48">
        <f>'My Portfolio'!$I$3</f>
        <v/>
      </c>
      <c r="K35" s="45">
        <f>F35-J35</f>
        <v/>
      </c>
      <c r="L35" s="49">
        <f>IF($A35&gt;TODAY(),"upcoming",IF(F35&gt;=J35,"✓ target met",IF($A35=DATE(YEAR(TODAY()),MONTH(TODAY()),1),"in progress","below target")))</f>
        <v/>
      </c>
    </row>
    <row r="36">
      <c r="A36" s="50" t="n">
        <v>46722</v>
      </c>
      <c r="B36" s="51">
        <f>SUMPRODUCT(('My Portfolio'!$J$7:$J$106&gt;=$A36)*('My Portfolio'!$J$7:$J$106&lt;=EOMONTH($A36,0))*('My Portfolio'!$C$7:$C$106&lt;&gt;"Call")*'My Portfolio'!$G$7:$G$106*'My Portfolio'!$F$7:$F$106)-SUMPRODUCT(('My Portfolio'!$M$7:$M$106&gt;=$A36)*('My Portfolio'!$M$7:$M$106&lt;=EOMONTH($A36,0))*('My Portfolio'!$C$7:$C$106&lt;&gt;"Call")*(TRIM('My Portfolio'!$S$7:$S$106)&lt;&gt;"")*('My Portfolio'!$T$7:$T$106="")*'My Portfolio'!$N$7:$N$106*'My Portfolio'!$F$7:$F$106)</f>
        <v/>
      </c>
      <c r="C36" s="51">
        <f>SUMPRODUCT(('My Portfolio'!$J$7:$J$106&gt;=$A36)*('My Portfolio'!$J$7:$J$106&lt;=EOMONTH($A36,0))*('My Portfolio'!$C$7:$C$106="Call")*'My Portfolio'!$G$7:$G$106*'My Portfolio'!$F$7:$F$106)-SUMPRODUCT(('My Portfolio'!$M$7:$M$106&gt;=$A36)*('My Portfolio'!$M$7:$M$106&lt;=EOMONTH($A36,0))*('My Portfolio'!$C$7:$C$106="Call")*(TRIM('My Portfolio'!$S$7:$S$106)&lt;&gt;"")*('My Portfolio'!$T$7:$T$106="")*'My Portfolio'!$N$7:$N$106*'My Portfolio'!$F$7:$F$106)</f>
        <v/>
      </c>
      <c r="D36" s="51">
        <f>SUMIFS('My Portfolio'!$T$7:$T$106,'My Portfolio'!$M$7:$M$106,"&gt;="&amp;$A36,'My Portfolio'!$M$7:$M$106,"&lt;="&amp;EOMONTH($A36,0),'My Portfolio'!$C$7:$C$106,"&lt;&gt;Call")</f>
        <v/>
      </c>
      <c r="E36" s="51">
        <f>SUMIFS('My Portfolio'!$T$7:$T$106,'My Portfolio'!$M$7:$M$106,"&gt;="&amp;$A36,'My Portfolio'!$M$7:$M$106,"&lt;="&amp;EOMONTH($A36,0),'My Portfolio'!$C$7:$C$106,"Call")</f>
        <v/>
      </c>
      <c r="F36" s="52">
        <f>D36+E36</f>
        <v/>
      </c>
      <c r="G36" s="51">
        <f>G35+F36</f>
        <v/>
      </c>
      <c r="H36" s="53">
        <f>COUNTIFS('My Portfolio'!$M$7:$M$106,"&gt;="&amp;$A36,'My Portfolio'!$M$7:$M$106,"&lt;="&amp;EOMONTH($A36,0),'My Portfolio'!$T$7:$T$106,"&gt;0")+COUNTIFS('My Portfolio'!$M$7:$M$106,"&gt;="&amp;$A36,'My Portfolio'!$M$7:$M$106,"&lt;="&amp;EOMONTH($A36,0),'My Portfolio'!$T$7:$T$106,"&lt;=0")</f>
        <v/>
      </c>
      <c r="I36" s="53">
        <f>COUNTIFS('My Portfolio'!$M$7:$M$106,"&gt;="&amp;$A36,'My Portfolio'!$M$7:$M$106,"&lt;="&amp;EOMONTH($A36,0),'My Portfolio'!$T$7:$T$106,"&gt;0")</f>
        <v/>
      </c>
      <c r="J36" s="54">
        <f>'My Portfolio'!$I$3</f>
        <v/>
      </c>
      <c r="K36" s="51">
        <f>F36-J36</f>
        <v/>
      </c>
      <c r="L36" s="55">
        <f>IF($A36&gt;TODAY(),"upcoming",IF(F36&gt;=J36,"✓ target met",IF($A36=DATE(YEAR(TODAY()),MONTH(TODAY()),1),"in progress","below target")))</f>
        <v/>
      </c>
    </row>
    <row r="37">
      <c r="A37" s="56" t="inlineStr">
        <is>
          <t>Q4 2027</t>
        </is>
      </c>
      <c r="B37" s="57">
        <f>B34+B35+B36</f>
        <v/>
      </c>
      <c r="C37" s="57">
        <f>C34+C35+C36</f>
        <v/>
      </c>
      <c r="D37" s="57">
        <f>D34+D35+D36</f>
        <v/>
      </c>
      <c r="E37" s="57">
        <f>E34+E35+E36</f>
        <v/>
      </c>
      <c r="F37" s="57">
        <f>F34+F35+F36</f>
        <v/>
      </c>
      <c r="G37" s="57">
        <f>G36</f>
        <v/>
      </c>
      <c r="H37" s="56">
        <f>H34+H35+H36</f>
        <v/>
      </c>
      <c r="I37" s="56">
        <f>I34+I35+I36</f>
        <v/>
      </c>
      <c r="J37" s="57">
        <f>IF(A34&lt;=TODAY(),J34,0)+IF(A35&lt;=TODAY(),J35,0)+IF(A36&lt;=TODAY(),J36,0)</f>
        <v/>
      </c>
      <c r="K37" s="57">
        <f>F37-J37</f>
        <v/>
      </c>
      <c r="L37" s="56">
        <f>IF(A34&gt;TODAY(),"upcoming",IF(F37&gt;=J37,"✓ target met",IF(A36&gt;=DATE(YEAR(TODAY()),MONTH(TODAY()),1),"in progress","below target")))</f>
        <v/>
      </c>
    </row>
    <row r="38">
      <c r="A38" s="58" t="inlineStr">
        <is>
          <t>2027 YTD</t>
        </is>
      </c>
      <c r="B38" s="59">
        <f>B22+B23+B24+B26+B27+B28+B30+B31+B32+B34+B35+B36</f>
        <v/>
      </c>
      <c r="C38" s="59">
        <f>C22+C23+C24+C26+C27+C28+C30+C31+C32+C34+C35+C36</f>
        <v/>
      </c>
      <c r="D38" s="59">
        <f>D22+D23+D24+D26+D27+D28+D30+D31+D32+D34+D35+D36</f>
        <v/>
      </c>
      <c r="E38" s="59">
        <f>E22+E23+E24+E26+E27+E28+E30+E31+E32+E34+E35+E36</f>
        <v/>
      </c>
      <c r="F38" s="59">
        <f>F22+F23+F24+F26+F27+F28+F30+F31+F32+F34+F35+F36</f>
        <v/>
      </c>
      <c r="G38" s="59">
        <f>G36</f>
        <v/>
      </c>
      <c r="H38" s="60">
        <f>H22+H23+H24+H26+H27+H28+H30+H31+H32+H34+H35+H36</f>
        <v/>
      </c>
      <c r="I38" s="60">
        <f>I22+I23+I24+I26+I27+I28+I30+I31+I32+I34+I35+I36</f>
        <v/>
      </c>
      <c r="J38" s="59">
        <f>IF(A22&lt;=TODAY(),J22,0)+IF(A23&lt;=TODAY(),J23,0)+IF(A24&lt;=TODAY(),J24,0)+IF(A26&lt;=TODAY(),J26,0)+IF(A27&lt;=TODAY(),J27,0)+IF(A28&lt;=TODAY(),J28,0)+IF(A30&lt;=TODAY(),J30,0)+IF(A31&lt;=TODAY(),J31,0)+IF(A32&lt;=TODAY(),J32,0)+IF(A34&lt;=TODAY(),J34,0)+IF(A35&lt;=TODAY(),J35,0)+IF(A36&lt;=TODAY(),J36,0)</f>
        <v/>
      </c>
      <c r="K38" s="59">
        <f>F38-J38</f>
        <v/>
      </c>
      <c r="L38" s="60">
        <f>IF(A22&gt;TODAY(),"upcoming",IF(F38&gt;=J38,"✓ target met",IF(A36&gt;=DATE(YEAR(TODAY()),MONTH(TODAY()),1),"in progress","below target")))</f>
        <v/>
      </c>
    </row>
    <row r="40">
      <c r="A40" s="61" t="inlineStr">
        <is>
          <t>Quarter / year targets count only months that have started. Trades closed before Jan 2026 are not counted here. Covered-call assignment: only the premium is counted; the share sale belongs in your share portfolio. Not financial advice.</t>
        </is>
      </c>
    </row>
  </sheetData>
  <mergeCells count="2">
    <mergeCell ref="A2:L2"/>
    <mergeCell ref="A1:L1"/>
  </mergeCells>
  <conditionalFormatting sqref="K5:K38">
    <cfRule type="cellIs" priority="1" operator="lessThan" dxfId="4">
      <formula>0</formula>
    </cfRule>
    <cfRule type="cellIs" priority="2" operator="greaterThanOrEqual" dxfId="5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2026-10-24T01:56:31Z</dcterms:created>
  <dcterms:modified xmlns:dcterms="http://purl.org/dc/terms/" xmlns:xsi="http://www.w3.org/2001/XMLSchema-instance" xsi:type="dcterms:W3CDTF">2026-10-24T01:56:31Z</dcterms:modified>
</cp:coreProperties>
</file>